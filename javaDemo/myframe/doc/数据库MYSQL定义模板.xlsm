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090" tabRatio="697" activeTab="2"/>
  </bookViews>
  <sheets>
    <sheet name="数据表一览" sheetId="1" r:id="rId1"/>
    <sheet name="人员信息管理表" sheetId="80" r:id="rId2"/>
    <sheet name="数据字典表" sheetId="66" r:id="rId3"/>
  </sheets>
  <calcPr calcId="144525"/>
</workbook>
</file>

<file path=xl/sharedStrings.xml><?xml version="1.0" encoding="utf-8"?>
<sst xmlns="http://schemas.openxmlformats.org/spreadsheetml/2006/main" count="175" uniqueCount="86">
  <si>
    <t>序号</t>
  </si>
  <si>
    <t>分类</t>
  </si>
  <si>
    <t>名称</t>
  </si>
  <si>
    <t>物理表名</t>
  </si>
  <si>
    <t>备注说明</t>
  </si>
  <si>
    <t>平台管理相关</t>
  </si>
  <si>
    <t>客户信息管理表</t>
  </si>
  <si>
    <t>人员信息管理表</t>
  </si>
  <si>
    <t>人员菜单权限关系表</t>
  </si>
  <si>
    <t>数据字典表</t>
  </si>
  <si>
    <t>系统日志表</t>
  </si>
  <si>
    <t>菜单管理表</t>
  </si>
  <si>
    <t>文件管理表</t>
  </si>
  <si>
    <t>信息发布表</t>
  </si>
  <si>
    <t>业务数据相关</t>
  </si>
  <si>
    <t>-- ----------------------------</t>
  </si>
  <si>
    <t>系统名称</t>
  </si>
  <si>
    <t>MyFrame</t>
  </si>
  <si>
    <t>创建者</t>
  </si>
  <si>
    <t>OS</t>
  </si>
  <si>
    <t>返回一览</t>
  </si>
  <si>
    <t>表名</t>
  </si>
  <si>
    <t>用户管理表</t>
  </si>
  <si>
    <t>创建日</t>
  </si>
  <si>
    <t>物理名</t>
  </si>
  <si>
    <t>t_user</t>
  </si>
  <si>
    <t>更新日</t>
  </si>
  <si>
    <t>说明</t>
  </si>
  <si>
    <t xml:space="preserve"> </t>
  </si>
  <si>
    <t>项目名</t>
  </si>
  <si>
    <t>数据类型及长度</t>
  </si>
  <si>
    <t>主键</t>
  </si>
  <si>
    <t>是否必须</t>
  </si>
  <si>
    <t>默认值</t>
  </si>
  <si>
    <t>备注</t>
  </si>
  <si>
    <t>主键ID</t>
  </si>
  <si>
    <t>id</t>
  </si>
  <si>
    <t>int</t>
  </si>
  <si>
    <t>Y</t>
  </si>
  <si>
    <t/>
  </si>
  <si>
    <t>账号</t>
  </si>
  <si>
    <t>account</t>
  </si>
  <si>
    <t>varchar(20)</t>
  </si>
  <si>
    <t>密码</t>
  </si>
  <si>
    <t>password</t>
  </si>
  <si>
    <t>varchar(50)</t>
  </si>
  <si>
    <t>角色ID</t>
  </si>
  <si>
    <t>role_id</t>
  </si>
  <si>
    <t>状态</t>
  </si>
  <si>
    <t>status</t>
  </si>
  <si>
    <t>varchar(1)</t>
  </si>
  <si>
    <t>1</t>
  </si>
  <si>
    <t>0：停用 1：可用</t>
  </si>
  <si>
    <t>删除标识</t>
  </si>
  <si>
    <t>is_delete</t>
  </si>
  <si>
    <t>0</t>
  </si>
  <si>
    <t>0：否  1：是</t>
  </si>
  <si>
    <t>创建时间</t>
  </si>
  <si>
    <t>create_date</t>
  </si>
  <si>
    <t>timestamp</t>
  </si>
  <si>
    <t>create_by</t>
  </si>
  <si>
    <t>更新时间</t>
  </si>
  <si>
    <t>update_date</t>
  </si>
  <si>
    <t>更新者</t>
  </si>
  <si>
    <t>update_by</t>
  </si>
  <si>
    <t>PRIMARY KEY (`id`));</t>
  </si>
  <si>
    <t>os</t>
  </si>
  <si>
    <t>2021/5/19</t>
  </si>
  <si>
    <t>t_dic</t>
  </si>
  <si>
    <t>ID</t>
  </si>
  <si>
    <t>int8</t>
  </si>
  <si>
    <t>数据类型</t>
  </si>
  <si>
    <t>dic_type</t>
  </si>
  <si>
    <t>类型名称</t>
  </si>
  <si>
    <t>dic_type_name</t>
  </si>
  <si>
    <t>数据编号</t>
  </si>
  <si>
    <t>dic_code</t>
  </si>
  <si>
    <t>数据内容</t>
  </si>
  <si>
    <t>dic_info</t>
  </si>
  <si>
    <t>数据内容简称</t>
  </si>
  <si>
    <t>dic_short_info</t>
  </si>
  <si>
    <t>上级编号</t>
  </si>
  <si>
    <t>parent_code</t>
  </si>
  <si>
    <t>是否预设数据</t>
  </si>
  <si>
    <t>is_init</t>
  </si>
  <si>
    <t xml:space="preserve"> 0：否 1：是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</si>
</sst>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30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12"/>
      <color theme="1"/>
      <name val="微软雅黑"/>
      <charset val="134"/>
    </font>
    <font>
      <b/>
      <sz val="12"/>
      <color rgb="FF000000"/>
      <name val="微软雅黑"/>
      <charset val="134"/>
    </font>
    <font>
      <u/>
      <sz val="11"/>
      <color theme="10"/>
      <name val="宋体"/>
      <charset val="134"/>
      <scheme val="minor"/>
    </font>
    <font>
      <b/>
      <sz val="12"/>
      <color theme="1"/>
      <name val="微软雅黑"/>
      <charset val="134"/>
    </font>
    <font>
      <sz val="12"/>
      <name val="微软雅黑"/>
      <charset val="134"/>
    </font>
    <font>
      <sz val="12"/>
      <color theme="1"/>
      <name val="微软雅黑"/>
      <charset val="134"/>
    </font>
    <font>
      <sz val="11"/>
      <color theme="1"/>
      <name val="微软雅黑"/>
      <charset val="134"/>
    </font>
    <font>
      <b/>
      <sz val="14"/>
      <color theme="1"/>
      <name val="微软雅黑"/>
      <charset val="134"/>
    </font>
    <font>
      <u/>
      <sz val="11"/>
      <color rgb="FF800080"/>
      <name val="宋体"/>
      <charset val="134"/>
      <scheme val="minor"/>
    </font>
    <font>
      <u/>
      <sz val="11"/>
      <color theme="1"/>
      <name val="宋体"/>
      <charset val="134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23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5" fillId="10" borderId="1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/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9" borderId="15" applyNumberFormat="0" applyFont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9" fillId="0" borderId="19" applyNumberFormat="0" applyFill="0" applyAlignment="0" applyProtection="0">
      <alignment vertical="center"/>
    </xf>
    <xf numFmtId="0" fontId="22" fillId="0" borderId="19" applyNumberFormat="0" applyFill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8" fillId="0" borderId="18" applyNumberFormat="0" applyFill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0" fontId="25" fillId="13" borderId="21" applyNumberFormat="0" applyAlignment="0" applyProtection="0">
      <alignment vertical="center"/>
    </xf>
    <xf numFmtId="0" fontId="26" fillId="13" borderId="16" applyNumberFormat="0" applyAlignment="0" applyProtection="0">
      <alignment vertical="center"/>
    </xf>
    <xf numFmtId="0" fontId="27" fillId="14" borderId="22" applyNumberFormat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16" fillId="0" borderId="17" applyNumberFormat="0" applyFill="0" applyAlignment="0" applyProtection="0">
      <alignment vertical="center"/>
    </xf>
    <xf numFmtId="0" fontId="24" fillId="0" borderId="20" applyNumberFormat="0" applyFill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" fillId="0" borderId="0"/>
  </cellStyleXfs>
  <cellXfs count="49">
    <xf numFmtId="0" fontId="0" fillId="0" borderId="0" xfId="0"/>
    <xf numFmtId="0" fontId="1" fillId="0" borderId="0" xfId="49"/>
    <xf numFmtId="0" fontId="2" fillId="0" borderId="0" xfId="49" applyFont="1"/>
    <xf numFmtId="49" fontId="3" fillId="2" borderId="1" xfId="49" applyNumberFormat="1" applyFont="1" applyFill="1" applyBorder="1" applyAlignment="1">
      <alignment vertical="center" wrapText="1"/>
    </xf>
    <xf numFmtId="49" fontId="2" fillId="0" borderId="2" xfId="49" applyNumberFormat="1" applyFont="1" applyBorder="1" applyAlignment="1">
      <alignment vertical="center" wrapText="1"/>
    </xf>
    <xf numFmtId="0" fontId="2" fillId="0" borderId="2" xfId="49" applyFont="1" applyBorder="1" applyAlignment="1">
      <alignment vertical="center" wrapText="1"/>
    </xf>
    <xf numFmtId="49" fontId="3" fillId="2" borderId="2" xfId="49" applyNumberFormat="1" applyFont="1" applyFill="1" applyBorder="1" applyAlignment="1">
      <alignment vertical="center" wrapText="1"/>
    </xf>
    <xf numFmtId="0" fontId="2" fillId="0" borderId="3" xfId="49" applyFont="1" applyBorder="1" applyAlignment="1">
      <alignment vertical="center" wrapText="1"/>
    </xf>
    <xf numFmtId="0" fontId="4" fillId="0" borderId="0" xfId="10"/>
    <xf numFmtId="49" fontId="3" fillId="2" borderId="4" xfId="49" applyNumberFormat="1" applyFont="1" applyFill="1" applyBorder="1" applyAlignment="1">
      <alignment vertical="center" wrapText="1"/>
    </xf>
    <xf numFmtId="49" fontId="2" fillId="0" borderId="5" xfId="49" applyNumberFormat="1" applyFont="1" applyBorder="1" applyAlignment="1">
      <alignment vertical="center" wrapText="1"/>
    </xf>
    <xf numFmtId="0" fontId="2" fillId="0" borderId="5" xfId="49" applyFont="1" applyBorder="1" applyAlignment="1">
      <alignment vertical="center" wrapText="1"/>
    </xf>
    <xf numFmtId="49" fontId="3" fillId="2" borderId="5" xfId="49" applyNumberFormat="1" applyFont="1" applyFill="1" applyBorder="1" applyAlignment="1">
      <alignment vertical="center" wrapText="1"/>
    </xf>
    <xf numFmtId="0" fontId="2" fillId="0" borderId="6" xfId="49" applyFont="1" applyBorder="1" applyAlignment="1">
      <alignment vertical="center" wrapText="1"/>
    </xf>
    <xf numFmtId="49" fontId="5" fillId="2" borderId="7" xfId="49" applyNumberFormat="1" applyFont="1" applyFill="1" applyBorder="1" applyAlignment="1">
      <alignment vertical="center" wrapText="1"/>
    </xf>
    <xf numFmtId="0" fontId="2" fillId="2" borderId="0" xfId="49" applyFont="1" applyFill="1" applyBorder="1" applyAlignment="1">
      <alignment vertical="center" wrapText="1"/>
    </xf>
    <xf numFmtId="0" fontId="2" fillId="2" borderId="8" xfId="49" applyFont="1" applyFill="1" applyBorder="1" applyAlignment="1">
      <alignment vertical="center" wrapText="1"/>
    </xf>
    <xf numFmtId="49" fontId="2" fillId="0" borderId="7" xfId="49" applyNumberFormat="1" applyFont="1" applyBorder="1" applyAlignment="1">
      <alignment vertical="top" wrapText="1"/>
    </xf>
    <xf numFmtId="0" fontId="2" fillId="0" borderId="0" xfId="49" applyFont="1" applyBorder="1" applyAlignment="1">
      <alignment vertical="top"/>
    </xf>
    <xf numFmtId="0" fontId="2" fillId="0" borderId="8" xfId="49" applyFont="1" applyBorder="1" applyAlignment="1">
      <alignment vertical="top"/>
    </xf>
    <xf numFmtId="0" fontId="2" fillId="0" borderId="7" xfId="49" applyFont="1" applyBorder="1" applyAlignment="1">
      <alignment vertical="top"/>
    </xf>
    <xf numFmtId="0" fontId="2" fillId="0" borderId="9" xfId="49" applyFont="1" applyBorder="1" applyAlignment="1">
      <alignment vertical="top"/>
    </xf>
    <xf numFmtId="0" fontId="2" fillId="0" borderId="10" xfId="49" applyFont="1" applyBorder="1" applyAlignment="1">
      <alignment vertical="top"/>
    </xf>
    <xf numFmtId="0" fontId="2" fillId="0" borderId="11" xfId="49" applyFont="1" applyBorder="1" applyAlignment="1">
      <alignment vertical="top"/>
    </xf>
    <xf numFmtId="0" fontId="3" fillId="2" borderId="5" xfId="49" applyFont="1" applyFill="1" applyBorder="1" applyAlignment="1">
      <alignment horizontal="center" vertical="center"/>
    </xf>
    <xf numFmtId="49" fontId="3" fillId="2" borderId="5" xfId="49" applyNumberFormat="1" applyFont="1" applyFill="1" applyBorder="1" applyAlignment="1">
      <alignment horizontal="center" vertical="center"/>
    </xf>
    <xf numFmtId="0" fontId="2" fillId="0" borderId="0" xfId="0" applyFont="1"/>
    <xf numFmtId="0" fontId="2" fillId="0" borderId="5" xfId="0" applyFont="1" applyBorder="1" applyAlignment="1">
      <alignment vertical="center"/>
    </xf>
    <xf numFmtId="49" fontId="2" fillId="0" borderId="5" xfId="0" applyNumberFormat="1" applyFont="1" applyBorder="1" applyAlignment="1">
      <alignment vertical="center"/>
    </xf>
    <xf numFmtId="49" fontId="2" fillId="0" borderId="5" xfId="49" applyNumberFormat="1" applyFont="1" applyBorder="1" applyAlignment="1">
      <alignment vertical="center"/>
    </xf>
    <xf numFmtId="49" fontId="2" fillId="0" borderId="5" xfId="0" applyNumberFormat="1" applyFont="1" applyBorder="1" applyAlignment="1">
      <alignment horizontal="center" vertical="center"/>
    </xf>
    <xf numFmtId="49" fontId="6" fillId="0" borderId="5" xfId="49" applyNumberFormat="1" applyFont="1" applyBorder="1" applyAlignment="1">
      <alignment vertical="center"/>
    </xf>
    <xf numFmtId="49" fontId="6" fillId="0" borderId="5" xfId="0" applyNumberFormat="1" applyFont="1" applyBorder="1" applyAlignment="1">
      <alignment vertical="center"/>
    </xf>
    <xf numFmtId="0" fontId="7" fillId="0" borderId="0" xfId="0" applyFont="1"/>
    <xf numFmtId="0" fontId="1" fillId="0" borderId="0" xfId="0" applyFont="1"/>
    <xf numFmtId="22" fontId="1" fillId="0" borderId="0" xfId="49" applyNumberFormat="1"/>
    <xf numFmtId="14" fontId="2" fillId="0" borderId="5" xfId="49" applyNumberFormat="1" applyFont="1" applyBorder="1" applyAlignment="1">
      <alignment vertical="center" wrapText="1"/>
    </xf>
    <xf numFmtId="0" fontId="8" fillId="0" borderId="0" xfId="0" applyFont="1"/>
    <xf numFmtId="0" fontId="8" fillId="0" borderId="0" xfId="0" applyFont="1" applyAlignment="1">
      <alignment horizontal="center"/>
    </xf>
    <xf numFmtId="0" fontId="9" fillId="2" borderId="5" xfId="0" applyFont="1" applyFill="1" applyBorder="1" applyAlignment="1">
      <alignment horizontal="center" vertic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 applyAlignment="1">
      <alignment horizontal="center" vertical="center"/>
    </xf>
    <xf numFmtId="0" fontId="4" fillId="0" borderId="5" xfId="10" applyBorder="1"/>
    <xf numFmtId="0" fontId="8" fillId="0" borderId="5" xfId="0" applyFont="1" applyBorder="1"/>
    <xf numFmtId="0" fontId="8" fillId="0" borderId="5" xfId="0" applyFont="1" applyBorder="1" applyAlignment="1">
      <alignment horizontal="center"/>
    </xf>
    <xf numFmtId="0" fontId="8" fillId="0" borderId="14" xfId="0" applyFont="1" applyBorder="1" applyAlignment="1">
      <alignment horizontal="center" vertical="center"/>
    </xf>
    <xf numFmtId="0" fontId="10" fillId="0" borderId="5" xfId="10" applyFont="1" applyBorder="1"/>
    <xf numFmtId="0" fontId="8" fillId="0" borderId="12" xfId="0" applyFont="1" applyBorder="1" applyAlignment="1">
      <alignment horizontal="center" vertical="center"/>
    </xf>
    <xf numFmtId="0" fontId="11" fillId="0" borderId="5" xfId="0" applyFont="1" applyBorder="1"/>
    <xf numFmtId="0" fontId="2" fillId="0" borderId="0" xfId="0" applyFont="1" quotePrefix="1"/>
    <xf numFmtId="49" fontId="2" fillId="0" borderId="5" xfId="0" applyNumberFormat="1" applyFont="1" applyBorder="1" applyAlignment="1" quotePrefix="1">
      <alignment vertical="center"/>
    </xf>
    <xf numFmtId="49" fontId="2" fillId="0" borderId="5" xfId="49" applyNumberFormat="1" applyFont="1" applyBorder="1" applyAlignment="1" quotePrefix="1">
      <alignment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00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</xdr:row>
          <xdr:rowOff>123825</xdr:rowOff>
        </xdr:from>
        <xdr:to>
          <xdr:col>10</xdr:col>
          <xdr:colOff>123825</xdr:colOff>
          <xdr:row>4</xdr:row>
          <xdr:rowOff>38100</xdr:rowOff>
        </xdr:to>
        <xdr:sp macro="[0]!btnCteate_Click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9563100" y="200025"/>
              <a:ext cx="2495550" cy="6000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生成建表定义SQL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1:F16"/>
  <sheetViews>
    <sheetView workbookViewId="0">
      <selection activeCell="J14" sqref="J14"/>
    </sheetView>
  </sheetViews>
  <sheetFormatPr defaultColWidth="9" defaultRowHeight="16.5" outlineLevelCol="5"/>
  <cols>
    <col min="1" max="1" width="1" style="37" customWidth="1"/>
    <col min="2" max="2" width="6.5" style="38" customWidth="1"/>
    <col min="3" max="3" width="13.25" style="37" customWidth="1"/>
    <col min="4" max="4" width="31.875" style="37" customWidth="1"/>
    <col min="5" max="5" width="30.125" style="37" customWidth="1"/>
    <col min="6" max="6" width="37.875" style="37" customWidth="1"/>
    <col min="7" max="16384" width="9" style="37"/>
  </cols>
  <sheetData>
    <row r="1" ht="6" customHeight="1"/>
    <row r="2" ht="21" spans="2:6">
      <c r="B2" s="39" t="s">
        <v>0</v>
      </c>
      <c r="C2" s="39" t="s">
        <v>1</v>
      </c>
      <c r="D2" s="39" t="s">
        <v>2</v>
      </c>
      <c r="E2" s="39" t="s">
        <v>3</v>
      </c>
      <c r="F2" s="39" t="s">
        <v>4</v>
      </c>
    </row>
    <row r="3" spans="2:6">
      <c r="B3" s="40">
        <f>ROW()-2</f>
        <v>1</v>
      </c>
      <c r="C3" s="41" t="s">
        <v>5</v>
      </c>
      <c r="D3" s="42" t="s">
        <v>6</v>
      </c>
      <c r="E3" s="43" t="e">
        <f ca="1">INDIRECT(D3&amp;"!C4")</f>
        <v>#REF!</v>
      </c>
      <c r="F3" s="43" t="e">
        <f ca="1" t="shared" ref="F3:F5" si="0">INDIRECT(D3&amp;"!B6")</f>
        <v>#REF!</v>
      </c>
    </row>
    <row r="4" spans="2:6">
      <c r="B4" s="44">
        <f>ROW()-2</f>
        <v>2</v>
      </c>
      <c r="C4" s="45"/>
      <c r="D4" s="42" t="s">
        <v>7</v>
      </c>
      <c r="E4" s="43" t="str">
        <f ca="1">INDIRECT(D4&amp;"!C4")</f>
        <v>t_user</v>
      </c>
      <c r="F4" s="43" t="str">
        <f ca="1" t="shared" si="0"/>
        <v> </v>
      </c>
    </row>
    <row r="5" spans="2:6">
      <c r="B5" s="40">
        <f>ROW()-2</f>
        <v>3</v>
      </c>
      <c r="C5" s="45"/>
      <c r="D5" s="42" t="s">
        <v>8</v>
      </c>
      <c r="E5" s="43" t="e">
        <f ca="1">INDIRECT(D5&amp;"!C4")</f>
        <v>#REF!</v>
      </c>
      <c r="F5" s="43" t="e">
        <f ca="1" t="shared" si="0"/>
        <v>#REF!</v>
      </c>
    </row>
    <row r="6" spans="2:6">
      <c r="B6" s="44">
        <f t="shared" ref="B6:B19" si="1">ROW()-2</f>
        <v>4</v>
      </c>
      <c r="C6" s="45"/>
      <c r="D6" s="42" t="s">
        <v>9</v>
      </c>
      <c r="E6" s="43" t="str">
        <f ca="1">INDIRECT(D6&amp;"!C4")</f>
        <v>t_dic</v>
      </c>
      <c r="F6" s="43"/>
    </row>
    <row r="7" spans="2:6">
      <c r="B7" s="40">
        <f t="shared" si="1"/>
        <v>5</v>
      </c>
      <c r="C7" s="45"/>
      <c r="D7" s="46" t="s">
        <v>10</v>
      </c>
      <c r="E7" s="43" t="e">
        <f ca="1">INDIRECT(D7&amp;"!C4")</f>
        <v>#REF!</v>
      </c>
      <c r="F7" s="43"/>
    </row>
    <row r="8" spans="2:6">
      <c r="B8" s="44">
        <f t="shared" si="1"/>
        <v>6</v>
      </c>
      <c r="C8" s="45"/>
      <c r="D8" s="42" t="s">
        <v>11</v>
      </c>
      <c r="E8" s="43" t="e">
        <f ca="1" t="shared" ref="E8:E9" si="2">INDIRECT(D8&amp;"!C4")</f>
        <v>#REF!</v>
      </c>
      <c r="F8" s="43"/>
    </row>
    <row r="9" spans="2:6">
      <c r="B9" s="40">
        <f t="shared" si="1"/>
        <v>7</v>
      </c>
      <c r="C9" s="45"/>
      <c r="D9" s="42" t="s">
        <v>12</v>
      </c>
      <c r="E9" s="43" t="e">
        <f ca="1" t="shared" si="2"/>
        <v>#REF!</v>
      </c>
      <c r="F9" s="43"/>
    </row>
    <row r="10" spans="2:6">
      <c r="B10" s="44">
        <f t="shared" si="1"/>
        <v>8</v>
      </c>
      <c r="C10" s="45"/>
      <c r="D10" s="42" t="s">
        <v>13</v>
      </c>
      <c r="E10" s="43" t="e">
        <f ca="1" t="shared" ref="E10" si="3">INDIRECT(D10&amp;"!C4")</f>
        <v>#REF!</v>
      </c>
      <c r="F10" s="43"/>
    </row>
    <row r="11" spans="2:6">
      <c r="B11" s="44">
        <f>ROW()-2</f>
        <v>9</v>
      </c>
      <c r="C11" s="47"/>
      <c r="D11" s="42"/>
      <c r="E11" s="43"/>
      <c r="F11" s="43"/>
    </row>
    <row r="12" spans="2:6">
      <c r="B12" s="40">
        <f>ROW()-2</f>
        <v>10</v>
      </c>
      <c r="C12" s="41" t="s">
        <v>14</v>
      </c>
      <c r="D12" s="48"/>
      <c r="E12" s="43"/>
      <c r="F12" s="43"/>
    </row>
    <row r="13" spans="2:6">
      <c r="B13" s="44">
        <f>ROW()-2</f>
        <v>11</v>
      </c>
      <c r="C13" s="45"/>
      <c r="D13" s="48"/>
      <c r="E13" s="43"/>
      <c r="F13" s="43"/>
    </row>
    <row r="14" spans="2:6">
      <c r="B14" s="40">
        <f>ROW()-2</f>
        <v>12</v>
      </c>
      <c r="C14" s="45"/>
      <c r="D14" s="48"/>
      <c r="E14" s="43"/>
      <c r="F14" s="43"/>
    </row>
    <row r="15" spans="2:6">
      <c r="B15" s="44">
        <f>ROW()-2</f>
        <v>13</v>
      </c>
      <c r="C15" s="45"/>
      <c r="D15" s="48"/>
      <c r="E15" s="43"/>
      <c r="F15" s="43"/>
    </row>
    <row r="16" spans="2:6">
      <c r="B16" s="40">
        <f>ROW()-2</f>
        <v>14</v>
      </c>
      <c r="C16" s="47"/>
      <c r="D16" s="48"/>
      <c r="E16" s="43"/>
      <c r="F16" s="43"/>
    </row>
  </sheetData>
  <mergeCells count="2">
    <mergeCell ref="C3:C11"/>
    <mergeCell ref="C12:C16"/>
  </mergeCells>
  <hyperlinks>
    <hyperlink ref="D3" location="客户信息管理表!A1" display="客户信息管理表"/>
    <hyperlink ref="D4" location="人员信息管理表!A1" display="人员信息管理表"/>
    <hyperlink ref="D5" location="人员菜单权限关系表!A1" display="人员菜单权限关系表"/>
    <hyperlink ref="D6" location="数据字典表!A1" display="数据字典表"/>
    <hyperlink ref="D7" location="系统日志表!A1" display="系统日志表"/>
    <hyperlink ref="D8" location="菜单管理表!A1" display="菜单管理表"/>
    <hyperlink ref="D9" location="文件管理表!A1" display="文件管理表"/>
    <hyperlink ref="D10" location="信息发布表!A1" display="信息发布表"/>
  </hyperlinks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name="Button 3" r:id="rId3">
              <controlPr print="0" defaultSize="0">
                <anchor moveWithCells="1" sizeWithCells="1">
                  <from>
                    <xdr:col>6</xdr:col>
                    <xdr:colOff>371475</xdr:colOff>
                    <xdr:row>1</xdr:row>
                    <xdr:rowOff>123825</xdr:rowOff>
                  </from>
                  <to>
                    <xdr:col>10</xdr:col>
                    <xdr:colOff>123825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1"/>
  <dimension ref="A1:L27"/>
  <sheetViews>
    <sheetView workbookViewId="0">
      <selection activeCell="D36" sqref="D36"/>
    </sheetView>
  </sheetViews>
  <sheetFormatPr defaultColWidth="9" defaultRowHeight="13.5"/>
  <cols>
    <col min="1" max="1" width="2" style="1" customWidth="1"/>
    <col min="2" max="2" width="9.75" style="1" customWidth="1"/>
    <col min="3" max="3" width="16.375" style="1" customWidth="1"/>
    <col min="4" max="4" width="19.25" style="1" customWidth="1"/>
    <col min="5" max="5" width="16.375" style="1" customWidth="1"/>
    <col min="6" max="6" width="9.75" style="1" customWidth="1"/>
    <col min="7" max="7" width="10.25" style="1" customWidth="1"/>
    <col min="8" max="8" width="15" style="1" customWidth="1"/>
    <col min="9" max="9" width="30.25" style="1" customWidth="1"/>
    <col min="10" max="10" width="14" customWidth="1"/>
    <col min="11" max="11" width="45" customWidth="1"/>
    <col min="12" max="12" width="9.625" style="1"/>
    <col min="13" max="16383" width="9" style="1"/>
  </cols>
  <sheetData>
    <row r="1" customHeight="1" spans="1:12">
      <c r="A1" s="2"/>
      <c r="B1" s="2"/>
      <c r="C1" s="2"/>
      <c r="D1" s="2"/>
      <c r="E1" s="2"/>
      <c r="F1" s="2"/>
      <c r="G1" s="2"/>
      <c r="H1" s="2"/>
      <c r="I1" s="2"/>
      <c r="K1" s="49" t="s">
        <v>15</v>
      </c>
      <c r="L1"/>
    </row>
    <row r="2" ht="18" spans="1:12">
      <c r="A2" s="2"/>
      <c r="B2" s="3" t="s">
        <v>16</v>
      </c>
      <c r="C2" s="4" t="s">
        <v>17</v>
      </c>
      <c r="D2" s="5"/>
      <c r="E2" s="6" t="s">
        <v>18</v>
      </c>
      <c r="F2" s="4" t="s">
        <v>19</v>
      </c>
      <c r="G2" s="7"/>
      <c r="H2" s="8" t="s">
        <v>20</v>
      </c>
      <c r="I2" s="2"/>
      <c r="K2" s="26" t="str">
        <f>"-- Table structure for  "&amp;$C$4&amp;" "&amp;$C$3</f>
        <v>-- Table structure for  t_user 用户管理表</v>
      </c>
      <c r="L2"/>
    </row>
    <row r="3" ht="18" spans="1:12">
      <c r="A3" s="2"/>
      <c r="B3" s="9" t="s">
        <v>21</v>
      </c>
      <c r="C3" s="10" t="s">
        <v>22</v>
      </c>
      <c r="D3" s="11"/>
      <c r="E3" s="12" t="s">
        <v>23</v>
      </c>
      <c r="F3" s="36">
        <v>44335</v>
      </c>
      <c r="G3" s="13"/>
      <c r="H3" s="2"/>
      <c r="I3" s="2"/>
      <c r="K3" s="49" t="s">
        <v>15</v>
      </c>
      <c r="L3"/>
    </row>
    <row r="4" ht="18" spans="1:12">
      <c r="A4" s="2"/>
      <c r="B4" s="9" t="s">
        <v>24</v>
      </c>
      <c r="C4" s="10" t="s">
        <v>25</v>
      </c>
      <c r="D4" s="11"/>
      <c r="E4" s="12" t="s">
        <v>26</v>
      </c>
      <c r="F4" s="10"/>
      <c r="G4" s="13"/>
      <c r="H4" s="2"/>
      <c r="I4" s="2"/>
      <c r="K4" s="26" t="str">
        <f>"DROP TABLE IF EXISTS  `"&amp;$C$4&amp;"`;"</f>
        <v>DROP TABLE IF EXISTS  `t_user`;</v>
      </c>
      <c r="L4"/>
    </row>
    <row r="5" ht="18" spans="1:12">
      <c r="A5" s="2"/>
      <c r="B5" s="14" t="s">
        <v>27</v>
      </c>
      <c r="C5" s="15"/>
      <c r="D5" s="15"/>
      <c r="E5" s="15"/>
      <c r="F5" s="15"/>
      <c r="G5" s="16"/>
      <c r="H5" s="2"/>
      <c r="I5" s="2"/>
      <c r="K5" s="26" t="str">
        <f>"CREATE TABLE `"&amp;$C$4&amp;"`  ("</f>
        <v>CREATE TABLE `t_user`  (</v>
      </c>
      <c r="L5"/>
    </row>
    <row r="6" ht="17.25" spans="1:12">
      <c r="A6" s="2"/>
      <c r="B6" s="17" t="s">
        <v>28</v>
      </c>
      <c r="C6" s="18"/>
      <c r="D6" s="18"/>
      <c r="E6" s="18"/>
      <c r="F6" s="18"/>
      <c r="G6" s="19"/>
      <c r="H6" s="2"/>
      <c r="I6" s="2"/>
      <c r="L6"/>
    </row>
    <row r="7" ht="17.25" spans="1:12">
      <c r="A7" s="2"/>
      <c r="B7" s="20"/>
      <c r="C7" s="18"/>
      <c r="D7" s="18"/>
      <c r="E7" s="18"/>
      <c r="F7" s="18"/>
      <c r="G7" s="19"/>
      <c r="H7" s="2"/>
      <c r="I7" s="2"/>
      <c r="L7"/>
    </row>
    <row r="8" ht="18" spans="1:12">
      <c r="A8" s="2"/>
      <c r="B8" s="21"/>
      <c r="C8" s="22"/>
      <c r="D8" s="22"/>
      <c r="E8" s="22"/>
      <c r="F8" s="22"/>
      <c r="G8" s="23"/>
      <c r="H8" s="2"/>
      <c r="I8" s="2"/>
      <c r="L8"/>
    </row>
    <row r="9" ht="17.25" spans="1:12">
      <c r="A9" s="2"/>
      <c r="B9" s="2"/>
      <c r="C9" s="2"/>
      <c r="D9" s="2"/>
      <c r="E9" s="2"/>
      <c r="F9" s="2"/>
      <c r="G9" s="2"/>
      <c r="H9" s="2"/>
      <c r="I9" s="2"/>
      <c r="L9"/>
    </row>
    <row r="10" ht="18" spans="1:12">
      <c r="A10" s="2"/>
      <c r="B10" s="24" t="s">
        <v>0</v>
      </c>
      <c r="C10" s="25" t="s">
        <v>29</v>
      </c>
      <c r="D10" s="25" t="s">
        <v>24</v>
      </c>
      <c r="E10" s="25" t="s">
        <v>30</v>
      </c>
      <c r="F10" s="25" t="s">
        <v>31</v>
      </c>
      <c r="G10" s="25" t="s">
        <v>32</v>
      </c>
      <c r="H10" s="25" t="s">
        <v>33</v>
      </c>
      <c r="I10" s="25" t="s">
        <v>34</v>
      </c>
      <c r="L10"/>
    </row>
    <row r="11" customFormat="1" ht="17.25" spans="1:12">
      <c r="A11" s="26"/>
      <c r="B11" s="27">
        <v>1</v>
      </c>
      <c r="C11" s="28" t="s">
        <v>35</v>
      </c>
      <c r="D11" s="28" t="s">
        <v>36</v>
      </c>
      <c r="E11" s="32" t="s">
        <v>37</v>
      </c>
      <c r="F11" s="30" t="s">
        <v>38</v>
      </c>
      <c r="G11" s="30" t="s">
        <v>38</v>
      </c>
      <c r="H11" s="50" t="s">
        <v>39</v>
      </c>
      <c r="I11" s="28"/>
      <c r="K11" s="33" t="str">
        <f>"`"&amp;D11&amp;"` "&amp;E11&amp;" "&amp;IF(G11="Y","NOT NULL ","")&amp;IF(H11="","","DEFAULT "&amp;IF(H11="","NULL",H11))</f>
        <v>`id` int NOT NULL </v>
      </c>
      <c r="L11" s="26" t="str">
        <f>"COMMENT '"&amp;C11&amp;""&amp;IF(I11&lt;&gt;"","("&amp;I11&amp;")","")&amp;"',"</f>
        <v>COMMENT '主键ID',</v>
      </c>
    </row>
    <row r="12" ht="17.25" spans="1:12">
      <c r="A12" s="2"/>
      <c r="B12" s="27">
        <v>2</v>
      </c>
      <c r="C12" s="29" t="s">
        <v>40</v>
      </c>
      <c r="D12" s="29" t="s">
        <v>41</v>
      </c>
      <c r="E12" s="29" t="s">
        <v>42</v>
      </c>
      <c r="F12" s="30"/>
      <c r="G12" s="30" t="s">
        <v>38</v>
      </c>
      <c r="H12" s="29"/>
      <c r="I12" s="29"/>
      <c r="K12" s="33" t="str">
        <f>"`"&amp;D12&amp;"` "&amp;E12&amp;" "&amp;IF(G12="Y","NOT NULL ","")&amp;IF(H12="","","DEFAULT "&amp;IF(H12="","NULL",H12))</f>
        <v>`account` varchar(20) NOT NULL </v>
      </c>
      <c r="L12" s="26" t="str">
        <f t="shared" ref="L12:L20" si="0">"COMMENT '"&amp;C12&amp;""&amp;IF(I12&lt;&gt;"","("&amp;I12&amp;")","")&amp;"',"</f>
        <v>COMMENT '账号',</v>
      </c>
    </row>
    <row r="13" ht="17.25" spans="1:12">
      <c r="A13" s="2"/>
      <c r="B13" s="27">
        <v>3</v>
      </c>
      <c r="C13" s="29" t="s">
        <v>43</v>
      </c>
      <c r="D13" s="29" t="s">
        <v>44</v>
      </c>
      <c r="E13" s="29" t="s">
        <v>45</v>
      </c>
      <c r="F13" s="30"/>
      <c r="G13" s="30" t="s">
        <v>38</v>
      </c>
      <c r="H13" s="29"/>
      <c r="I13" s="29"/>
      <c r="K13" s="33" t="str">
        <f t="shared" ref="K12:K20" si="1">"`"&amp;D13&amp;"` "&amp;E13&amp;" "&amp;IF(G13="Y","NOT NULL ","")&amp;IF(H13="","","DEFAULT "&amp;IF(H13="","NULL",H13))</f>
        <v>`password` varchar(50) NOT NULL </v>
      </c>
      <c r="L13" s="26" t="str">
        <f t="shared" si="0"/>
        <v>COMMENT '密码',</v>
      </c>
    </row>
    <row r="14" ht="17.25" spans="1:12">
      <c r="A14" s="2"/>
      <c r="B14" s="27">
        <v>4</v>
      </c>
      <c r="C14" s="29" t="s">
        <v>46</v>
      </c>
      <c r="D14" s="29" t="s">
        <v>47</v>
      </c>
      <c r="E14" s="29" t="s">
        <v>37</v>
      </c>
      <c r="F14" s="30"/>
      <c r="G14" s="30" t="s">
        <v>38</v>
      </c>
      <c r="H14" s="29"/>
      <c r="I14" s="29"/>
      <c r="K14" s="33" t="str">
        <f t="shared" si="1"/>
        <v>`role_id` int NOT NULL </v>
      </c>
      <c r="L14" s="26" t="str">
        <f t="shared" si="0"/>
        <v>COMMENT '角色ID',</v>
      </c>
    </row>
    <row r="15" ht="17.25" spans="1:12">
      <c r="A15" s="2"/>
      <c r="B15" s="27">
        <v>5</v>
      </c>
      <c r="C15" s="29" t="s">
        <v>48</v>
      </c>
      <c r="D15" s="28" t="s">
        <v>49</v>
      </c>
      <c r="E15" s="31" t="s">
        <v>50</v>
      </c>
      <c r="F15" s="30"/>
      <c r="G15" s="30" t="s">
        <v>38</v>
      </c>
      <c r="H15" s="50" t="s">
        <v>51</v>
      </c>
      <c r="I15" s="28" t="s">
        <v>52</v>
      </c>
      <c r="K15" s="33" t="str">
        <f>"`"&amp;D15&amp;"` "&amp;E15&amp;" "&amp;IF(G15="Y","NOT NULL ","")&amp;IF(H15="","","DEFAULT "&amp;IF(H15="","NULL",H15))</f>
        <v>`status` varchar(1) NOT NULL DEFAULT 1</v>
      </c>
      <c r="L15" s="26" t="str">
        <f t="shared" si="0"/>
        <v>COMMENT '状态(0：停用 1：可用)',</v>
      </c>
    </row>
    <row r="16" customFormat="1" ht="17.25" spans="2:12">
      <c r="B16" s="27">
        <v>6</v>
      </c>
      <c r="C16" s="29" t="s">
        <v>53</v>
      </c>
      <c r="D16" s="28" t="s">
        <v>54</v>
      </c>
      <c r="E16" s="31" t="s">
        <v>50</v>
      </c>
      <c r="F16" s="30"/>
      <c r="G16" s="30" t="s">
        <v>38</v>
      </c>
      <c r="H16" s="50" t="s">
        <v>55</v>
      </c>
      <c r="I16" s="28" t="s">
        <v>56</v>
      </c>
      <c r="K16" s="33" t="str">
        <f t="shared" si="1"/>
        <v>`is_delete` varchar(1) NOT NULL DEFAULT 0</v>
      </c>
      <c r="L16" s="26" t="str">
        <f t="shared" si="0"/>
        <v>COMMENT '删除标识(0：否  1：是)',</v>
      </c>
    </row>
    <row r="17" ht="17.25" spans="1:12">
      <c r="A17" s="2"/>
      <c r="B17" s="27">
        <v>7</v>
      </c>
      <c r="C17" s="29" t="s">
        <v>57</v>
      </c>
      <c r="D17" s="29" t="s">
        <v>58</v>
      </c>
      <c r="E17" s="29" t="s">
        <v>59</v>
      </c>
      <c r="F17" s="30"/>
      <c r="G17" s="30" t="s">
        <v>38</v>
      </c>
      <c r="H17" s="28"/>
      <c r="I17" s="28"/>
      <c r="K17" s="33" t="str">
        <f t="shared" si="1"/>
        <v>`create_date` timestamp NOT NULL </v>
      </c>
      <c r="L17" s="26" t="str">
        <f t="shared" si="0"/>
        <v>COMMENT '创建时间',</v>
      </c>
    </row>
    <row r="18" ht="17.25" spans="1:12">
      <c r="A18" s="2"/>
      <c r="B18" s="27">
        <v>8</v>
      </c>
      <c r="C18" s="29" t="s">
        <v>18</v>
      </c>
      <c r="D18" s="29" t="s">
        <v>60</v>
      </c>
      <c r="E18" s="32" t="s">
        <v>37</v>
      </c>
      <c r="F18" s="30"/>
      <c r="G18" s="30" t="s">
        <v>38</v>
      </c>
      <c r="H18" s="28"/>
      <c r="I18" s="28"/>
      <c r="K18" s="33" t="str">
        <f t="shared" si="1"/>
        <v>`create_by` int NOT NULL </v>
      </c>
      <c r="L18" s="26" t="str">
        <f t="shared" si="0"/>
        <v>COMMENT '创建者',</v>
      </c>
    </row>
    <row r="19" ht="17.25" spans="1:12">
      <c r="A19" s="2"/>
      <c r="B19" s="27">
        <v>9</v>
      </c>
      <c r="C19" s="29" t="s">
        <v>61</v>
      </c>
      <c r="D19" s="29" t="s">
        <v>62</v>
      </c>
      <c r="E19" s="29" t="s">
        <v>59</v>
      </c>
      <c r="F19" s="30"/>
      <c r="G19" s="30" t="s">
        <v>38</v>
      </c>
      <c r="H19" s="28"/>
      <c r="I19" s="28"/>
      <c r="K19" s="33" t="str">
        <f t="shared" si="1"/>
        <v>`update_date` timestamp NOT NULL </v>
      </c>
      <c r="L19" s="26" t="str">
        <f t="shared" si="0"/>
        <v>COMMENT '更新时间',</v>
      </c>
    </row>
    <row r="20" ht="17.25" spans="2:12">
      <c r="B20" s="27">
        <v>10</v>
      </c>
      <c r="C20" s="29" t="s">
        <v>63</v>
      </c>
      <c r="D20" s="29" t="s">
        <v>64</v>
      </c>
      <c r="E20" s="32" t="s">
        <v>37</v>
      </c>
      <c r="F20" s="30"/>
      <c r="G20" s="30" t="s">
        <v>38</v>
      </c>
      <c r="H20" s="28"/>
      <c r="I20" s="28"/>
      <c r="K20" s="33" t="str">
        <f t="shared" si="1"/>
        <v>`update_by` int NOT NULL </v>
      </c>
      <c r="L20" s="26" t="str">
        <f t="shared" si="0"/>
        <v>COMMENT '更新者',</v>
      </c>
    </row>
    <row r="21" ht="17.25" spans="11:12">
      <c r="K21" s="26" t="s">
        <v>65</v>
      </c>
      <c r="L21" s="26"/>
    </row>
    <row r="22" ht="17.25" spans="11:11">
      <c r="K22" s="26"/>
    </row>
    <row r="23" ht="17.25" spans="11:11">
      <c r="K23" s="26"/>
    </row>
    <row r="26" spans="11:11">
      <c r="K26" s="34"/>
    </row>
    <row r="27" spans="11:11">
      <c r="K27" s="34"/>
    </row>
  </sheetData>
  <mergeCells count="8">
    <mergeCell ref="C2:D2"/>
    <mergeCell ref="F2:G2"/>
    <mergeCell ref="C3:D3"/>
    <mergeCell ref="F3:G3"/>
    <mergeCell ref="C4:D4"/>
    <mergeCell ref="F4:G4"/>
    <mergeCell ref="B5:G5"/>
    <mergeCell ref="B6:G8"/>
  </mergeCells>
  <hyperlinks>
    <hyperlink ref="H2" location="数据表一览!A1" display="返回一览"/>
  </hyperlinks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Q46"/>
  <sheetViews>
    <sheetView tabSelected="1" workbookViewId="0">
      <selection activeCell="H10" sqref="H10"/>
    </sheetView>
  </sheetViews>
  <sheetFormatPr defaultColWidth="9" defaultRowHeight="13.5"/>
  <cols>
    <col min="1" max="1" width="2" style="1" customWidth="1"/>
    <col min="2" max="2" width="9.75" style="1" customWidth="1"/>
    <col min="3" max="3" width="15" style="1" customWidth="1"/>
    <col min="4" max="4" width="19.25" style="1" customWidth="1"/>
    <col min="5" max="5" width="16.375" style="1" customWidth="1"/>
    <col min="6" max="6" width="9.75" style="1" customWidth="1"/>
    <col min="7" max="7" width="7.75" style="1" customWidth="1"/>
    <col min="8" max="8" width="21.375" style="1" customWidth="1"/>
    <col min="9" max="9" width="16.25" style="1" customWidth="1"/>
    <col min="10" max="10" width="30.5" customWidth="1"/>
    <col min="11" max="11" width="39.25" customWidth="1"/>
    <col min="12" max="16384" width="9" style="1"/>
  </cols>
  <sheetData>
    <row r="1" ht="18" spans="1:12">
      <c r="A1" s="2"/>
      <c r="B1" s="2"/>
      <c r="C1" s="2"/>
      <c r="D1" s="2"/>
      <c r="E1" s="2"/>
      <c r="F1" s="2"/>
      <c r="G1" s="2"/>
      <c r="H1" s="2"/>
      <c r="I1" s="2"/>
      <c r="K1" s="49" t="s">
        <v>15</v>
      </c>
      <c r="L1"/>
    </row>
    <row r="2" ht="18" spans="1:12">
      <c r="A2" s="2"/>
      <c r="B2" s="3" t="s">
        <v>16</v>
      </c>
      <c r="C2" s="4" t="s">
        <v>17</v>
      </c>
      <c r="D2" s="5"/>
      <c r="E2" s="6" t="s">
        <v>18</v>
      </c>
      <c r="F2" s="4" t="s">
        <v>66</v>
      </c>
      <c r="G2" s="7"/>
      <c r="H2" s="8" t="s">
        <v>20</v>
      </c>
      <c r="I2" s="2"/>
      <c r="K2" s="26" t="str">
        <f>"-- Table structure for  "&amp;$C$4&amp;" "&amp;$C$3</f>
        <v>-- Table structure for  t_dic 数据字典表</v>
      </c>
      <c r="L2"/>
    </row>
    <row r="3" ht="18" spans="1:12">
      <c r="A3" s="2"/>
      <c r="B3" s="9" t="s">
        <v>21</v>
      </c>
      <c r="C3" s="10" t="s">
        <v>9</v>
      </c>
      <c r="D3" s="11"/>
      <c r="E3" s="12" t="s">
        <v>23</v>
      </c>
      <c r="F3" s="10" t="s">
        <v>67</v>
      </c>
      <c r="G3" s="13"/>
      <c r="H3" s="2"/>
      <c r="I3" s="2"/>
      <c r="K3" s="49" t="s">
        <v>15</v>
      </c>
      <c r="L3"/>
    </row>
    <row r="4" ht="18" spans="1:12">
      <c r="A4" s="2"/>
      <c r="B4" s="9" t="s">
        <v>24</v>
      </c>
      <c r="C4" s="10" t="s">
        <v>68</v>
      </c>
      <c r="D4" s="11"/>
      <c r="E4" s="12" t="s">
        <v>26</v>
      </c>
      <c r="F4" s="10"/>
      <c r="G4" s="13"/>
      <c r="H4" s="2"/>
      <c r="I4" s="2"/>
      <c r="K4" s="26" t="str">
        <f>"DROP TABLE IF EXISTS  `"&amp;$C$4&amp;"`;"</f>
        <v>DROP TABLE IF EXISTS  `t_dic`;</v>
      </c>
      <c r="L4"/>
    </row>
    <row r="5" ht="18" spans="1:12">
      <c r="A5" s="2"/>
      <c r="B5" s="14" t="s">
        <v>27</v>
      </c>
      <c r="C5" s="15"/>
      <c r="D5" s="15"/>
      <c r="E5" s="15"/>
      <c r="F5" s="15"/>
      <c r="G5" s="16"/>
      <c r="H5" s="2"/>
      <c r="I5" s="2"/>
      <c r="K5" s="26" t="str">
        <f>"CREATE TABLE `"&amp;$C$4&amp;"`  ("</f>
        <v>CREATE TABLE `t_dic`  (</v>
      </c>
      <c r="L5"/>
    </row>
    <row r="6" ht="17.25" spans="1:12">
      <c r="A6" s="2"/>
      <c r="B6" s="17" t="s">
        <v>28</v>
      </c>
      <c r="C6" s="18"/>
      <c r="D6" s="18"/>
      <c r="E6" s="18"/>
      <c r="F6" s="18"/>
      <c r="G6" s="19"/>
      <c r="H6" s="2"/>
      <c r="I6" s="2"/>
      <c r="L6"/>
    </row>
    <row r="7" ht="17.25" spans="1:12">
      <c r="A7" s="2"/>
      <c r="B7" s="20"/>
      <c r="C7" s="18"/>
      <c r="D7" s="18"/>
      <c r="E7" s="18"/>
      <c r="F7" s="18"/>
      <c r="G7" s="19"/>
      <c r="H7" s="2"/>
      <c r="I7" s="2"/>
      <c r="L7"/>
    </row>
    <row r="8" ht="18" spans="1:12">
      <c r="A8" s="2"/>
      <c r="B8" s="21"/>
      <c r="C8" s="22"/>
      <c r="D8" s="22"/>
      <c r="E8" s="22"/>
      <c r="F8" s="22"/>
      <c r="G8" s="23"/>
      <c r="H8" s="2"/>
      <c r="I8" s="2"/>
      <c r="L8"/>
    </row>
    <row r="9" ht="17.25" spans="1:12">
      <c r="A9" s="2"/>
      <c r="B9" s="2"/>
      <c r="C9" s="2"/>
      <c r="D9" s="2"/>
      <c r="E9" s="2"/>
      <c r="F9" s="2"/>
      <c r="G9" s="2"/>
      <c r="H9" s="2"/>
      <c r="I9" s="2"/>
      <c r="L9"/>
    </row>
    <row r="10" ht="18" spans="1:12">
      <c r="A10" s="2"/>
      <c r="B10" s="24" t="s">
        <v>0</v>
      </c>
      <c r="C10" s="25" t="s">
        <v>29</v>
      </c>
      <c r="D10" s="25" t="s">
        <v>24</v>
      </c>
      <c r="E10" s="25" t="s">
        <v>30</v>
      </c>
      <c r="F10" s="25" t="s">
        <v>31</v>
      </c>
      <c r="G10" s="25" t="s">
        <v>32</v>
      </c>
      <c r="H10" s="25" t="s">
        <v>33</v>
      </c>
      <c r="I10" s="25" t="s">
        <v>34</v>
      </c>
      <c r="L10"/>
    </row>
    <row r="11" customFormat="1" ht="17.25" spans="1:12">
      <c r="A11" s="26"/>
      <c r="B11" s="27">
        <v>1</v>
      </c>
      <c r="C11" s="28" t="s">
        <v>69</v>
      </c>
      <c r="D11" s="28" t="s">
        <v>36</v>
      </c>
      <c r="E11" s="29" t="s">
        <v>70</v>
      </c>
      <c r="F11" s="30" t="s">
        <v>38</v>
      </c>
      <c r="G11" s="30" t="s">
        <v>38</v>
      </c>
      <c r="H11" s="50" t="s">
        <v>39</v>
      </c>
      <c r="I11" s="50" t="s">
        <v>39</v>
      </c>
      <c r="K11" s="33" t="str">
        <f>"`"&amp;D11&amp;"` "&amp;E11&amp;" "&amp;IF(G11="Y","NOT NULL ","")&amp;IF(H11="","","DEFAULT "&amp;IF(H11="","NULL",H11))</f>
        <v>`id` int8 NOT NULL </v>
      </c>
      <c r="L11" s="26" t="str">
        <f>"COMMENT '"&amp;C11&amp;""&amp;IF(I11&lt;&gt;"","("&amp;I11&amp;")","")&amp;"',"</f>
        <v>COMMENT 'ID',</v>
      </c>
    </row>
    <row r="12" ht="17.25" spans="1:12">
      <c r="A12" s="2"/>
      <c r="B12" s="27">
        <v>2</v>
      </c>
      <c r="C12" s="29" t="s">
        <v>71</v>
      </c>
      <c r="D12" s="29" t="s">
        <v>72</v>
      </c>
      <c r="E12" s="29" t="s">
        <v>42</v>
      </c>
      <c r="F12" s="30"/>
      <c r="G12" s="30" t="s">
        <v>38</v>
      </c>
      <c r="H12" s="51" t="s">
        <v>39</v>
      </c>
      <c r="I12" s="51" t="s">
        <v>39</v>
      </c>
      <c r="K12" s="33" t="str">
        <f t="shared" ref="K12:K23" si="0">"`"&amp;D12&amp;"` "&amp;E12&amp;" "&amp;IF(G12="Y","NOT NULL ","")&amp;IF(H12="","","DEFAULT "&amp;IF(H12="","NULL",H12))</f>
        <v>`dic_type` varchar(20) NOT NULL </v>
      </c>
      <c r="L12" s="26" t="str">
        <f t="shared" ref="L12:L23" si="1">"COMMENT '"&amp;C12&amp;""&amp;IF(I12&lt;&gt;"","("&amp;I12&amp;")","")&amp;"',"</f>
        <v>COMMENT '数据类型',</v>
      </c>
    </row>
    <row r="13" ht="17.25" spans="1:12">
      <c r="A13" s="2"/>
      <c r="B13" s="27">
        <v>3</v>
      </c>
      <c r="C13" s="29" t="s">
        <v>73</v>
      </c>
      <c r="D13" s="29" t="s">
        <v>74</v>
      </c>
      <c r="E13" s="29" t="s">
        <v>45</v>
      </c>
      <c r="F13" s="30"/>
      <c r="G13" s="30" t="s">
        <v>38</v>
      </c>
      <c r="H13" s="29"/>
      <c r="I13" s="29"/>
      <c r="K13" s="33" t="str">
        <f t="shared" si="0"/>
        <v>`dic_type_name` varchar(50) NOT NULL </v>
      </c>
      <c r="L13" s="26" t="str">
        <f t="shared" si="1"/>
        <v>COMMENT '类型名称',</v>
      </c>
    </row>
    <row r="14" ht="17.25" spans="1:12">
      <c r="A14" s="2"/>
      <c r="B14" s="27">
        <v>4</v>
      </c>
      <c r="C14" s="29" t="s">
        <v>75</v>
      </c>
      <c r="D14" s="29" t="s">
        <v>76</v>
      </c>
      <c r="E14" s="29" t="s">
        <v>42</v>
      </c>
      <c r="F14" s="30"/>
      <c r="G14" s="30" t="s">
        <v>38</v>
      </c>
      <c r="H14" s="29"/>
      <c r="I14" s="29"/>
      <c r="K14" s="33" t="str">
        <f t="shared" si="0"/>
        <v>`dic_code` varchar(20) NOT NULL </v>
      </c>
      <c r="L14" s="26" t="str">
        <f t="shared" si="1"/>
        <v>COMMENT '数据编号',</v>
      </c>
    </row>
    <row r="15" ht="17.25" spans="1:12">
      <c r="A15" s="2"/>
      <c r="B15" s="27">
        <v>5</v>
      </c>
      <c r="C15" s="29" t="s">
        <v>77</v>
      </c>
      <c r="D15" s="29" t="s">
        <v>78</v>
      </c>
      <c r="E15" s="29" t="s">
        <v>45</v>
      </c>
      <c r="F15" s="30"/>
      <c r="G15" s="30" t="s">
        <v>38</v>
      </c>
      <c r="H15" s="29"/>
      <c r="I15" s="29"/>
      <c r="K15" s="33" t="str">
        <f t="shared" si="0"/>
        <v>`dic_info` varchar(50) NOT NULL </v>
      </c>
      <c r="L15" s="26" t="str">
        <f t="shared" si="1"/>
        <v>COMMENT '数据内容',</v>
      </c>
    </row>
    <row r="16" ht="17.25" spans="1:12">
      <c r="A16" s="2"/>
      <c r="B16" s="27">
        <v>6</v>
      </c>
      <c r="C16" s="29" t="s">
        <v>79</v>
      </c>
      <c r="D16" s="29" t="s">
        <v>80</v>
      </c>
      <c r="E16" s="29" t="s">
        <v>45</v>
      </c>
      <c r="F16" s="30"/>
      <c r="G16" s="30" t="s">
        <v>38</v>
      </c>
      <c r="H16" s="29"/>
      <c r="I16" s="29"/>
      <c r="K16" s="33" t="str">
        <f t="shared" si="0"/>
        <v>`dic_short_info` varchar(50) NOT NULL </v>
      </c>
      <c r="L16" s="26" t="str">
        <f t="shared" si="1"/>
        <v>COMMENT '数据内容简称',</v>
      </c>
    </row>
    <row r="17" ht="17.25" spans="1:12">
      <c r="A17" s="2"/>
      <c r="B17" s="27">
        <v>7</v>
      </c>
      <c r="C17" s="29" t="s">
        <v>81</v>
      </c>
      <c r="D17" s="29" t="s">
        <v>82</v>
      </c>
      <c r="E17" s="29" t="s">
        <v>45</v>
      </c>
      <c r="F17" s="30"/>
      <c r="G17" s="30" t="s">
        <v>38</v>
      </c>
      <c r="H17" s="29"/>
      <c r="I17" s="29"/>
      <c r="K17" s="33" t="str">
        <f t="shared" si="0"/>
        <v>`parent_code` varchar(50) NOT NULL </v>
      </c>
      <c r="L17" s="26" t="str">
        <f t="shared" si="1"/>
        <v>COMMENT '上级编号',</v>
      </c>
    </row>
    <row r="18" ht="17.25" spans="1:12">
      <c r="A18" s="2"/>
      <c r="B18" s="27">
        <v>8</v>
      </c>
      <c r="C18" s="29" t="s">
        <v>83</v>
      </c>
      <c r="D18" s="28" t="s">
        <v>84</v>
      </c>
      <c r="E18" s="31" t="s">
        <v>50</v>
      </c>
      <c r="F18" s="30"/>
      <c r="G18" s="30" t="s">
        <v>38</v>
      </c>
      <c r="H18" s="50" t="s">
        <v>55</v>
      </c>
      <c r="I18" s="28" t="s">
        <v>85</v>
      </c>
      <c r="K18" s="33" t="str">
        <f t="shared" si="0"/>
        <v>`is_init` varchar(1) NOT NULL DEFAULT 0</v>
      </c>
      <c r="L18" s="26" t="str">
        <f t="shared" si="1"/>
        <v>COMMENT '是否预设数据( 0：否 1：是)',</v>
      </c>
    </row>
    <row r="19" customFormat="1" ht="17.25" spans="2:12">
      <c r="B19" s="27">
        <v>9</v>
      </c>
      <c r="C19" s="29" t="s">
        <v>53</v>
      </c>
      <c r="D19" s="28" t="s">
        <v>54</v>
      </c>
      <c r="E19" s="31" t="s">
        <v>50</v>
      </c>
      <c r="F19" s="30"/>
      <c r="G19" s="30" t="s">
        <v>38</v>
      </c>
      <c r="H19" s="50" t="s">
        <v>55</v>
      </c>
      <c r="I19" s="28" t="s">
        <v>85</v>
      </c>
      <c r="K19" s="33" t="str">
        <f t="shared" si="0"/>
        <v>`is_delete` varchar(1) NOT NULL DEFAULT 0</v>
      </c>
      <c r="L19" s="26" t="str">
        <f t="shared" si="1"/>
        <v>COMMENT '删除标识( 0：否 1：是)',</v>
      </c>
    </row>
    <row r="20" ht="17.25" spans="1:12">
      <c r="A20" s="2"/>
      <c r="B20" s="27">
        <v>10</v>
      </c>
      <c r="C20" s="29" t="s">
        <v>57</v>
      </c>
      <c r="D20" s="29" t="s">
        <v>58</v>
      </c>
      <c r="E20" s="29" t="s">
        <v>59</v>
      </c>
      <c r="F20" s="30"/>
      <c r="G20" s="30" t="s">
        <v>38</v>
      </c>
      <c r="H20" s="51" t="s">
        <v>39</v>
      </c>
      <c r="I20" s="29"/>
      <c r="K20" s="33" t="str">
        <f t="shared" si="0"/>
        <v>`create_date` timestamp NOT NULL </v>
      </c>
      <c r="L20" s="26" t="str">
        <f t="shared" si="1"/>
        <v>COMMENT '创建时间',</v>
      </c>
    </row>
    <row r="21" ht="17.25" spans="1:12">
      <c r="A21" s="2"/>
      <c r="B21" s="27">
        <v>11</v>
      </c>
      <c r="C21" s="29" t="s">
        <v>18</v>
      </c>
      <c r="D21" s="29" t="s">
        <v>60</v>
      </c>
      <c r="E21" s="32" t="s">
        <v>70</v>
      </c>
      <c r="F21" s="30"/>
      <c r="G21" s="30" t="s">
        <v>38</v>
      </c>
      <c r="H21" s="51" t="s">
        <v>39</v>
      </c>
      <c r="I21" s="29"/>
      <c r="K21" s="33" t="str">
        <f t="shared" si="0"/>
        <v>`create_by` int8 NOT NULL </v>
      </c>
      <c r="L21" s="26" t="str">
        <f t="shared" si="1"/>
        <v>COMMENT '创建者',</v>
      </c>
    </row>
    <row r="22" ht="17.25" spans="1:12">
      <c r="A22" s="2"/>
      <c r="B22" s="27">
        <v>12</v>
      </c>
      <c r="C22" s="29" t="s">
        <v>61</v>
      </c>
      <c r="D22" s="29" t="s">
        <v>62</v>
      </c>
      <c r="E22" s="29" t="s">
        <v>59</v>
      </c>
      <c r="F22" s="30"/>
      <c r="G22" s="30" t="s">
        <v>38</v>
      </c>
      <c r="H22" s="51" t="s">
        <v>39</v>
      </c>
      <c r="I22" s="29"/>
      <c r="K22" s="33" t="str">
        <f t="shared" si="0"/>
        <v>`update_date` timestamp NOT NULL </v>
      </c>
      <c r="L22" s="26" t="str">
        <f t="shared" si="1"/>
        <v>COMMENT '更新时间',</v>
      </c>
    </row>
    <row r="23" ht="17.25" spans="1:12">
      <c r="A23" s="2"/>
      <c r="B23" s="27">
        <v>13</v>
      </c>
      <c r="C23" s="29" t="s">
        <v>63</v>
      </c>
      <c r="D23" s="29" t="s">
        <v>64</v>
      </c>
      <c r="E23" s="32" t="s">
        <v>70</v>
      </c>
      <c r="F23" s="30"/>
      <c r="G23" s="30" t="s">
        <v>38</v>
      </c>
      <c r="H23" s="51" t="s">
        <v>39</v>
      </c>
      <c r="I23" s="29"/>
      <c r="K23" s="33" t="str">
        <f t="shared" si="0"/>
        <v>`update_by` int8 NOT NULL </v>
      </c>
      <c r="L23" s="26" t="str">
        <f t="shared" si="1"/>
        <v>COMMENT '更新者',</v>
      </c>
    </row>
    <row r="24" ht="17.25" spans="9:12">
      <c r="I24" s="2"/>
      <c r="K24" s="26" t="s">
        <v>65</v>
      </c>
      <c r="L24" s="26"/>
    </row>
    <row r="25" ht="17.25" spans="9:11">
      <c r="I25" s="2"/>
      <c r="K25" s="26"/>
    </row>
    <row r="26" ht="17.25" spans="9:11">
      <c r="I26" s="2"/>
      <c r="K26" s="26"/>
    </row>
    <row r="27" ht="17.25" spans="9:9">
      <c r="I27" s="2"/>
    </row>
    <row r="28" ht="17.25" spans="9:9">
      <c r="I28" s="2"/>
    </row>
    <row r="29" ht="17.25" spans="9:11">
      <c r="I29" s="2"/>
      <c r="K29" s="34"/>
    </row>
    <row r="30" ht="17.25" spans="9:11">
      <c r="I30" s="2"/>
      <c r="K30" s="34"/>
    </row>
    <row r="31" ht="17.25" spans="9:9">
      <c r="I31" s="2"/>
    </row>
    <row r="39" spans="15:17">
      <c r="O39" s="35"/>
      <c r="Q39" s="35"/>
    </row>
    <row r="40" spans="15:17">
      <c r="O40" s="35"/>
      <c r="Q40" s="35"/>
    </row>
    <row r="41" spans="15:17">
      <c r="O41" s="35"/>
      <c r="Q41" s="35"/>
    </row>
    <row r="42" spans="15:17">
      <c r="O42" s="35"/>
      <c r="Q42" s="35"/>
    </row>
    <row r="43" spans="15:17">
      <c r="O43" s="35"/>
      <c r="Q43" s="35"/>
    </row>
    <row r="44" spans="15:17">
      <c r="O44" s="35"/>
      <c r="Q44" s="35"/>
    </row>
    <row r="45" spans="15:17">
      <c r="O45" s="35"/>
      <c r="Q45" s="35"/>
    </row>
    <row r="46" spans="15:17">
      <c r="O46" s="35"/>
      <c r="Q46" s="35"/>
    </row>
  </sheetData>
  <mergeCells count="8">
    <mergeCell ref="C2:D2"/>
    <mergeCell ref="F2:G2"/>
    <mergeCell ref="C3:D3"/>
    <mergeCell ref="F3:G3"/>
    <mergeCell ref="C4:D4"/>
    <mergeCell ref="F4:G4"/>
    <mergeCell ref="B5:G5"/>
    <mergeCell ref="B6:G8"/>
  </mergeCells>
  <hyperlinks>
    <hyperlink ref="H2" location="数据表一览!A1" display="返回一览"/>
  </hyperlink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数据表一览</vt:lpstr>
      <vt:lpstr>人员信息管理表</vt:lpstr>
      <vt:lpstr>数据字典表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dubingzhe</dc:creator>
  <cp:lastModifiedBy>base</cp:lastModifiedBy>
  <dcterms:created xsi:type="dcterms:W3CDTF">2006-09-16T00:00:00Z</dcterms:created>
  <dcterms:modified xsi:type="dcterms:W3CDTF">2021-05-19T10:01:46Z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2052-11.1.0.10495</vt:lpwstr>
  </property>
  <property fmtid="{D5CDD505-2E9C-101B-9397-08002B2CF9AE}" pid="3" name="ICV">
    <vt:lpwstr>E369352F1C234217BFDEF214BCFB6754</vt:lpwstr>
  </property>
</Properties>
</file>