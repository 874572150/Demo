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VN\documents\20210118西门子EMS\项目文档\"/>
    </mc:Choice>
  </mc:AlternateContent>
  <bookViews>
    <workbookView xWindow="-105" yWindow="-105" windowWidth="19425" windowHeight="10425" tabRatio="697" firstSheet="5" activeTab="14"/>
  </bookViews>
  <sheets>
    <sheet name="数据表一览" sheetId="1" r:id="rId1"/>
    <sheet name="客户信息管理表" sheetId="84" r:id="rId2"/>
    <sheet name="人员信息管理表" sheetId="80" r:id="rId3"/>
    <sheet name="人员菜单权限关系表" sheetId="88" r:id="rId4"/>
    <sheet name="运维单位信息管理表" sheetId="85" r:id="rId5"/>
    <sheet name="运维团队信息管理表" sheetId="86" r:id="rId6"/>
    <sheet name="登录页广告位管理表" sheetId="87" r:id="rId7"/>
    <sheet name="菜单管理表" sheetId="67" r:id="rId8"/>
    <sheet name="文件管理表" sheetId="90" r:id="rId9"/>
    <sheet name="信息发布表" sheetId="92" r:id="rId10"/>
    <sheet name="数据字典表" sheetId="66" r:id="rId11"/>
    <sheet name="系统日志表" sheetId="76" r:id="rId12"/>
    <sheet name="建筑信息表" sheetId="94" r:id="rId13"/>
    <sheet name="设备信息表" sheetId="95" r:id="rId14"/>
    <sheet name="表计传感器信息表" sheetId="96" r:id="rId15"/>
  </sheets>
  <calcPr calcId="152511"/>
</workbook>
</file>

<file path=xl/calcChain.xml><?xml version="1.0" encoding="utf-8"?>
<calcChain xmlns="http://schemas.openxmlformats.org/spreadsheetml/2006/main">
  <c r="K25" i="95" l="1"/>
  <c r="J25" i="95"/>
  <c r="K26" i="95"/>
  <c r="J26" i="95"/>
  <c r="B16" i="1"/>
  <c r="B15" i="1"/>
  <c r="B14" i="1"/>
  <c r="K24" i="96"/>
  <c r="J24" i="96"/>
  <c r="K23" i="96"/>
  <c r="J23" i="96"/>
  <c r="K22" i="96"/>
  <c r="J22" i="96"/>
  <c r="K21" i="96"/>
  <c r="J21" i="96"/>
  <c r="K20" i="96"/>
  <c r="J20" i="96"/>
  <c r="K19" i="96"/>
  <c r="J19" i="96"/>
  <c r="K18" i="96"/>
  <c r="J18" i="96"/>
  <c r="K17" i="96"/>
  <c r="J17" i="96"/>
  <c r="K16" i="96"/>
  <c r="J16" i="96"/>
  <c r="K15" i="96"/>
  <c r="J15" i="96"/>
  <c r="K14" i="96"/>
  <c r="J14" i="96"/>
  <c r="K13" i="96"/>
  <c r="J13" i="96"/>
  <c r="K12" i="96"/>
  <c r="J12" i="96"/>
  <c r="K24" i="95"/>
  <c r="J24" i="95"/>
  <c r="K23" i="95"/>
  <c r="J23" i="95"/>
  <c r="K22" i="95"/>
  <c r="J22" i="95"/>
  <c r="K21" i="95"/>
  <c r="J21" i="95"/>
  <c r="K20" i="95"/>
  <c r="J20" i="95"/>
  <c r="K19" i="95"/>
  <c r="J19" i="95"/>
  <c r="K18" i="95"/>
  <c r="J18" i="95"/>
  <c r="K17" i="95"/>
  <c r="J17" i="95"/>
  <c r="K31" i="95"/>
  <c r="J31" i="95"/>
  <c r="K30" i="95"/>
  <c r="J30" i="95"/>
  <c r="K29" i="95"/>
  <c r="J29" i="95"/>
  <c r="K28" i="95"/>
  <c r="J28" i="95"/>
  <c r="K27" i="95"/>
  <c r="J27" i="95"/>
  <c r="K16" i="95"/>
  <c r="J16" i="95"/>
  <c r="K15" i="95"/>
  <c r="J15" i="95"/>
  <c r="K14" i="95"/>
  <c r="J14" i="95"/>
  <c r="K13" i="95"/>
  <c r="J13" i="95"/>
  <c r="K12" i="95"/>
  <c r="J12" i="95"/>
  <c r="K16" i="94"/>
  <c r="J16" i="94"/>
  <c r="K21" i="94"/>
  <c r="J21" i="94"/>
  <c r="K20" i="94"/>
  <c r="J20" i="94"/>
  <c r="K19" i="94"/>
  <c r="J19" i="94"/>
  <c r="K18" i="94"/>
  <c r="J18" i="94"/>
  <c r="K17" i="94"/>
  <c r="J17" i="94"/>
  <c r="K31" i="96"/>
  <c r="K30" i="96"/>
  <c r="K29" i="96"/>
  <c r="K28" i="96"/>
  <c r="K26" i="96"/>
  <c r="K11" i="96"/>
  <c r="J11" i="96"/>
  <c r="J5" i="96"/>
  <c r="J4" i="96"/>
  <c r="J2" i="96"/>
  <c r="K38" i="95"/>
  <c r="K37" i="95"/>
  <c r="K36" i="95"/>
  <c r="K35" i="95"/>
  <c r="K33" i="95"/>
  <c r="K11" i="95"/>
  <c r="J11" i="95"/>
  <c r="J5" i="95"/>
  <c r="J4" i="95"/>
  <c r="J2" i="95"/>
  <c r="K28" i="94"/>
  <c r="K27" i="94"/>
  <c r="K26" i="94"/>
  <c r="K25" i="94"/>
  <c r="K23" i="94"/>
  <c r="K15" i="94"/>
  <c r="J15" i="94"/>
  <c r="K14" i="94"/>
  <c r="J14" i="94"/>
  <c r="K13" i="94"/>
  <c r="J13" i="94"/>
  <c r="K12" i="94"/>
  <c r="J12" i="94"/>
  <c r="K11" i="94"/>
  <c r="J11" i="94"/>
  <c r="J5" i="94"/>
  <c r="J4" i="94"/>
  <c r="J2" i="94"/>
  <c r="K18" i="86"/>
  <c r="J18" i="86"/>
  <c r="K17" i="86"/>
  <c r="J17" i="86"/>
  <c r="K28" i="85"/>
  <c r="K22" i="88"/>
  <c r="K34" i="80"/>
  <c r="K36" i="84"/>
  <c r="K33" i="84"/>
  <c r="K21" i="80"/>
  <c r="K20" i="80"/>
  <c r="J21" i="80"/>
  <c r="J20" i="80"/>
  <c r="E16" i="1"/>
  <c r="E15" i="1"/>
  <c r="E14" i="1"/>
  <c r="K17" i="66" l="1"/>
  <c r="J17" i="66"/>
  <c r="K16" i="66"/>
  <c r="J16" i="66"/>
  <c r="K35" i="84"/>
  <c r="K34" i="84"/>
  <c r="K33" i="80"/>
  <c r="K32" i="80"/>
  <c r="K21" i="88"/>
  <c r="K20" i="88"/>
  <c r="K27" i="85"/>
  <c r="K26" i="85"/>
  <c r="K33" i="86"/>
  <c r="K32" i="86"/>
  <c r="K31" i="86"/>
  <c r="K29" i="87"/>
  <c r="K28" i="87"/>
  <c r="K27" i="87"/>
  <c r="K30" i="66"/>
  <c r="K29" i="66"/>
  <c r="K28" i="66"/>
  <c r="K27" i="76"/>
  <c r="K26" i="76"/>
  <c r="K25" i="76"/>
  <c r="K28" i="67"/>
  <c r="K27" i="67"/>
  <c r="K26" i="67"/>
  <c r="K25" i="67"/>
  <c r="K27" i="92"/>
  <c r="K28" i="92"/>
  <c r="K29" i="92"/>
  <c r="J5" i="84"/>
  <c r="J5" i="80"/>
  <c r="J5" i="88"/>
  <c r="J5" i="85"/>
  <c r="J5" i="86"/>
  <c r="J5" i="87"/>
  <c r="J5" i="66"/>
  <c r="J5" i="76"/>
  <c r="J5" i="67"/>
  <c r="J5" i="90"/>
  <c r="J5" i="92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27" i="80"/>
  <c r="J26" i="80"/>
  <c r="J25" i="80"/>
  <c r="J24" i="80"/>
  <c r="J23" i="80"/>
  <c r="J22" i="80"/>
  <c r="J19" i="80"/>
  <c r="J18" i="80"/>
  <c r="J17" i="80"/>
  <c r="J16" i="80"/>
  <c r="J15" i="80"/>
  <c r="J14" i="80"/>
  <c r="J13" i="80"/>
  <c r="J12" i="80"/>
  <c r="J15" i="88"/>
  <c r="J14" i="88"/>
  <c r="J13" i="88"/>
  <c r="J12" i="88"/>
  <c r="J21" i="85"/>
  <c r="J20" i="85"/>
  <c r="J19" i="85"/>
  <c r="J18" i="85"/>
  <c r="J17" i="85"/>
  <c r="J16" i="85"/>
  <c r="J15" i="85"/>
  <c r="J14" i="85"/>
  <c r="J13" i="85"/>
  <c r="J12" i="85"/>
  <c r="J26" i="86"/>
  <c r="J25" i="86"/>
  <c r="J24" i="86"/>
  <c r="J23" i="86"/>
  <c r="J22" i="86"/>
  <c r="J21" i="86"/>
  <c r="J20" i="86"/>
  <c r="J19" i="86"/>
  <c r="J16" i="86"/>
  <c r="J15" i="86"/>
  <c r="J14" i="86"/>
  <c r="J13" i="86"/>
  <c r="J12" i="86"/>
  <c r="J22" i="87"/>
  <c r="J21" i="87"/>
  <c r="J20" i="87"/>
  <c r="J19" i="87"/>
  <c r="J18" i="87"/>
  <c r="J17" i="87"/>
  <c r="J16" i="87"/>
  <c r="J15" i="87"/>
  <c r="J14" i="87"/>
  <c r="J13" i="87"/>
  <c r="J12" i="87"/>
  <c r="J23" i="66"/>
  <c r="J22" i="66"/>
  <c r="J21" i="66"/>
  <c r="J20" i="66"/>
  <c r="J19" i="66"/>
  <c r="J18" i="66"/>
  <c r="J15" i="66"/>
  <c r="J14" i="66"/>
  <c r="J13" i="66"/>
  <c r="J12" i="66"/>
  <c r="J20" i="76"/>
  <c r="J19" i="76"/>
  <c r="J18" i="76"/>
  <c r="J17" i="76"/>
  <c r="J16" i="76"/>
  <c r="J15" i="76"/>
  <c r="J14" i="76"/>
  <c r="J13" i="76"/>
  <c r="J12" i="76"/>
  <c r="J21" i="67"/>
  <c r="J20" i="67"/>
  <c r="J19" i="67"/>
  <c r="J18" i="67"/>
  <c r="J17" i="67"/>
  <c r="J16" i="67"/>
  <c r="J15" i="67"/>
  <c r="J14" i="67"/>
  <c r="J13" i="67"/>
  <c r="J12" i="67"/>
  <c r="J17" i="90"/>
  <c r="J16" i="90"/>
  <c r="J15" i="90"/>
  <c r="J14" i="90"/>
  <c r="J13" i="90"/>
  <c r="J12" i="90"/>
  <c r="J22" i="92"/>
  <c r="J21" i="92"/>
  <c r="J20" i="92"/>
  <c r="J19" i="92"/>
  <c r="J18" i="92"/>
  <c r="J17" i="92"/>
  <c r="J16" i="92"/>
  <c r="J15" i="92"/>
  <c r="J14" i="92"/>
  <c r="J13" i="92"/>
  <c r="J12" i="92"/>
  <c r="K16" i="86"/>
  <c r="J2" i="92"/>
  <c r="J2" i="90"/>
  <c r="J2" i="67"/>
  <c r="J2" i="76"/>
  <c r="J2" i="66"/>
  <c r="J2" i="87"/>
  <c r="J2" i="86"/>
  <c r="J2" i="85"/>
  <c r="J2" i="88"/>
  <c r="J2" i="80"/>
  <c r="J2" i="84"/>
  <c r="K24" i="92"/>
  <c r="K22" i="92" l="1"/>
  <c r="K21" i="92"/>
  <c r="K20" i="92"/>
  <c r="K19" i="92"/>
  <c r="K18" i="92"/>
  <c r="K26" i="92"/>
  <c r="K17" i="92"/>
  <c r="K16" i="92"/>
  <c r="K15" i="92"/>
  <c r="K14" i="92"/>
  <c r="K13" i="92"/>
  <c r="K12" i="92"/>
  <c r="K11" i="92"/>
  <c r="J11" i="92"/>
  <c r="J4" i="92"/>
  <c r="K21" i="90"/>
  <c r="K19" i="90"/>
  <c r="K17" i="90"/>
  <c r="K16" i="90"/>
  <c r="K15" i="90"/>
  <c r="K14" i="90"/>
  <c r="K13" i="90"/>
  <c r="K12" i="90"/>
  <c r="K11" i="90"/>
  <c r="J11" i="90"/>
  <c r="J4" i="90"/>
  <c r="K23" i="67"/>
  <c r="K21" i="67"/>
  <c r="K20" i="67"/>
  <c r="K19" i="67"/>
  <c r="K18" i="67"/>
  <c r="K17" i="67"/>
  <c r="K16" i="67"/>
  <c r="K15" i="67"/>
  <c r="K14" i="67"/>
  <c r="K13" i="67"/>
  <c r="K12" i="67"/>
  <c r="K11" i="67"/>
  <c r="J11" i="67"/>
  <c r="J4" i="67"/>
  <c r="K24" i="76"/>
  <c r="K22" i="76"/>
  <c r="K20" i="76"/>
  <c r="K19" i="76"/>
  <c r="K18" i="76"/>
  <c r="K17" i="76"/>
  <c r="K16" i="76"/>
  <c r="K15" i="76"/>
  <c r="K14" i="76"/>
  <c r="K13" i="76"/>
  <c r="K12" i="76"/>
  <c r="K11" i="76"/>
  <c r="J11" i="76"/>
  <c r="J4" i="76"/>
  <c r="K27" i="66"/>
  <c r="K25" i="66"/>
  <c r="K23" i="66"/>
  <c r="K22" i="66"/>
  <c r="K21" i="66"/>
  <c r="K20" i="66"/>
  <c r="K19" i="66"/>
  <c r="K18" i="66"/>
  <c r="K15" i="66"/>
  <c r="K14" i="66"/>
  <c r="K13" i="66"/>
  <c r="K12" i="66"/>
  <c r="K11" i="66"/>
  <c r="J11" i="66"/>
  <c r="J4" i="66"/>
  <c r="K30" i="86"/>
  <c r="K28" i="86"/>
  <c r="K26" i="86"/>
  <c r="K25" i="86"/>
  <c r="K24" i="86"/>
  <c r="K23" i="86"/>
  <c r="K22" i="86"/>
  <c r="K21" i="86"/>
  <c r="K20" i="86"/>
  <c r="K19" i="86"/>
  <c r="K15" i="86"/>
  <c r="K14" i="86"/>
  <c r="K13" i="86"/>
  <c r="K12" i="86"/>
  <c r="K11" i="86"/>
  <c r="J11" i="86"/>
  <c r="J4" i="86"/>
  <c r="K26" i="87"/>
  <c r="K24" i="87"/>
  <c r="K22" i="87"/>
  <c r="K21" i="87"/>
  <c r="K20" i="87"/>
  <c r="K19" i="87"/>
  <c r="K18" i="87"/>
  <c r="K17" i="87"/>
  <c r="K16" i="87"/>
  <c r="K15" i="87"/>
  <c r="K14" i="87"/>
  <c r="K13" i="87"/>
  <c r="K12" i="87"/>
  <c r="K11" i="87"/>
  <c r="J11" i="87"/>
  <c r="J4" i="87"/>
  <c r="K25" i="85"/>
  <c r="K23" i="85"/>
  <c r="K21" i="85"/>
  <c r="K20" i="85"/>
  <c r="K19" i="85"/>
  <c r="K18" i="85"/>
  <c r="K17" i="85"/>
  <c r="K16" i="85"/>
  <c r="K15" i="85"/>
  <c r="K14" i="85"/>
  <c r="K13" i="85"/>
  <c r="K12" i="85"/>
  <c r="K11" i="85"/>
  <c r="J11" i="85"/>
  <c r="J4" i="85"/>
  <c r="K19" i="88"/>
  <c r="K31" i="80"/>
  <c r="K31" i="84"/>
  <c r="K17" i="88"/>
  <c r="K15" i="88"/>
  <c r="K14" i="88"/>
  <c r="K13" i="88"/>
  <c r="K12" i="88"/>
  <c r="K11" i="88"/>
  <c r="J11" i="88"/>
  <c r="J4" i="88"/>
  <c r="K29" i="80"/>
  <c r="K27" i="80"/>
  <c r="K26" i="80"/>
  <c r="K25" i="80"/>
  <c r="K24" i="80"/>
  <c r="K23" i="80"/>
  <c r="K22" i="80"/>
  <c r="K19" i="80"/>
  <c r="K18" i="80"/>
  <c r="K17" i="80"/>
  <c r="K16" i="80"/>
  <c r="K15" i="80"/>
  <c r="K14" i="80"/>
  <c r="K13" i="80"/>
  <c r="K12" i="80"/>
  <c r="K11" i="80"/>
  <c r="J11" i="80"/>
  <c r="J4" i="80"/>
  <c r="K29" i="84"/>
  <c r="K28" i="84"/>
  <c r="K27" i="84"/>
  <c r="K26" i="84"/>
  <c r="K25" i="84"/>
  <c r="K24" i="84"/>
  <c r="K23" i="84"/>
  <c r="K22" i="84"/>
  <c r="K21" i="84"/>
  <c r="K20" i="84"/>
  <c r="K19" i="84"/>
  <c r="K18" i="84"/>
  <c r="K17" i="84"/>
  <c r="K16" i="84"/>
  <c r="K15" i="84"/>
  <c r="K14" i="84"/>
  <c r="K13" i="84"/>
  <c r="K11" i="84"/>
  <c r="K12" i="84"/>
  <c r="J11" i="84"/>
  <c r="J4" i="84"/>
  <c r="E13" i="1"/>
  <c r="B17" i="1" l="1"/>
  <c r="B18" i="1"/>
  <c r="B19" i="1"/>
  <c r="B20" i="1"/>
  <c r="B21" i="1"/>
  <c r="B22" i="1"/>
  <c r="B11" i="1"/>
  <c r="B12" i="1"/>
  <c r="B13" i="1"/>
  <c r="B9" i="1"/>
  <c r="B10" i="1"/>
  <c r="E11" i="1"/>
  <c r="E12" i="1"/>
  <c r="B7" i="1" l="1"/>
  <c r="E7" i="1"/>
  <c r="B5" i="1" l="1"/>
  <c r="B6" i="1"/>
  <c r="B8" i="1"/>
  <c r="E10" i="1"/>
  <c r="F5" i="1"/>
  <c r="E9" i="1"/>
  <c r="E5" i="1"/>
  <c r="E8" i="1"/>
  <c r="E6" i="1"/>
  <c r="B4" i="1" l="1"/>
  <c r="B3" i="1"/>
  <c r="F3" i="1"/>
  <c r="F4" i="1"/>
  <c r="E4" i="1"/>
  <c r="E3" i="1"/>
</calcChain>
</file>

<file path=xl/sharedStrings.xml><?xml version="1.0" encoding="utf-8"?>
<sst xmlns="http://schemas.openxmlformats.org/spreadsheetml/2006/main" count="1082" uniqueCount="330">
  <si>
    <t>序号</t>
  </si>
  <si>
    <t>分类</t>
  </si>
  <si>
    <t>名称</t>
  </si>
  <si>
    <t>物理表名</t>
  </si>
  <si>
    <t>备注说明</t>
  </si>
  <si>
    <t>数据字典表</t>
  </si>
  <si>
    <t>平台管理相关</t>
  </si>
  <si>
    <t>系统名称</t>
  </si>
  <si>
    <t>创建者</t>
  </si>
  <si>
    <t>返回一览</t>
  </si>
  <si>
    <t>表名</t>
  </si>
  <si>
    <t>创建日</t>
  </si>
  <si>
    <t>物理名</t>
  </si>
  <si>
    <t>更新日</t>
  </si>
  <si>
    <t>说明</t>
  </si>
  <si>
    <t xml:space="preserve"> </t>
  </si>
  <si>
    <t>项目名</t>
  </si>
  <si>
    <t>数据类型及长度</t>
  </si>
  <si>
    <t>是否必须</t>
  </si>
  <si>
    <t>默认值</t>
  </si>
  <si>
    <t>备注</t>
  </si>
  <si>
    <t>id</t>
  </si>
  <si>
    <t>Y</t>
  </si>
  <si>
    <t/>
  </si>
  <si>
    <t>ID</t>
    <phoneticPr fontId="9" type="noConversion"/>
  </si>
  <si>
    <t>varchar(20)</t>
  </si>
  <si>
    <t>varchar(1)</t>
    <phoneticPr fontId="9" type="noConversion"/>
  </si>
  <si>
    <t>创建时间</t>
  </si>
  <si>
    <t>更新时间</t>
  </si>
  <si>
    <t>更新者</t>
  </si>
  <si>
    <t>create_date</t>
    <phoneticPr fontId="9" type="noConversion"/>
  </si>
  <si>
    <t>update_date</t>
    <phoneticPr fontId="9" type="noConversion"/>
  </si>
  <si>
    <t>create_by</t>
    <phoneticPr fontId="9" type="noConversion"/>
  </si>
  <si>
    <t>update_by</t>
    <phoneticPr fontId="9" type="noConversion"/>
  </si>
  <si>
    <t>数据字典表</t>
    <phoneticPr fontId="9" type="noConversion"/>
  </si>
  <si>
    <t>varchar(255)</t>
    <phoneticPr fontId="9" type="noConversion"/>
  </si>
  <si>
    <t>varchar(255)</t>
    <phoneticPr fontId="9" type="noConversion"/>
  </si>
  <si>
    <t>1</t>
    <phoneticPr fontId="9" type="noConversion"/>
  </si>
  <si>
    <t>菜单管理表</t>
  </si>
  <si>
    <t>level</t>
    <phoneticPr fontId="9" type="noConversion"/>
  </si>
  <si>
    <t>link</t>
    <phoneticPr fontId="9" type="noConversion"/>
  </si>
  <si>
    <t>name</t>
    <phoneticPr fontId="9" type="noConversion"/>
  </si>
  <si>
    <t>parent_id</t>
    <phoneticPr fontId="9" type="noConversion"/>
  </si>
  <si>
    <t>is_parent</t>
    <phoneticPr fontId="9" type="noConversion"/>
  </si>
  <si>
    <t>orders</t>
    <phoneticPr fontId="9" type="noConversion"/>
  </si>
  <si>
    <t>component</t>
    <phoneticPr fontId="9" type="noConversion"/>
  </si>
  <si>
    <t>icon1</t>
    <phoneticPr fontId="9" type="noConversion"/>
  </si>
  <si>
    <t>icon2</t>
    <phoneticPr fontId="9" type="noConversion"/>
  </si>
  <si>
    <t>菜单图标1</t>
    <phoneticPr fontId="9" type="noConversion"/>
  </si>
  <si>
    <t>菜单图标2</t>
    <phoneticPr fontId="9" type="noConversion"/>
  </si>
  <si>
    <t>菜单等级</t>
    <phoneticPr fontId="9" type="noConversion"/>
  </si>
  <si>
    <t>菜单链接</t>
    <phoneticPr fontId="9" type="noConversion"/>
  </si>
  <si>
    <t>菜单名</t>
    <phoneticPr fontId="9" type="noConversion"/>
  </si>
  <si>
    <t>是否为顶层父类</t>
    <phoneticPr fontId="9" type="noConversion"/>
  </si>
  <si>
    <t>父菜单id</t>
    <phoneticPr fontId="9" type="noConversion"/>
  </si>
  <si>
    <t>菜单排序</t>
    <phoneticPr fontId="9" type="noConversion"/>
  </si>
  <si>
    <t>菜单组件</t>
    <phoneticPr fontId="9" type="noConversion"/>
  </si>
  <si>
    <t>菜单管理表</t>
    <phoneticPr fontId="9" type="noConversion"/>
  </si>
  <si>
    <t>用户ID</t>
    <phoneticPr fontId="9" type="noConversion"/>
  </si>
  <si>
    <t>varchar(20)</t>
    <phoneticPr fontId="9" type="noConversion"/>
  </si>
  <si>
    <t>系统日志表</t>
    <phoneticPr fontId="9" type="noConversion"/>
  </si>
  <si>
    <t>varchar(16)</t>
    <phoneticPr fontId="9" type="noConversion"/>
  </si>
  <si>
    <t>系统日志表</t>
  </si>
  <si>
    <t>user_id</t>
  </si>
  <si>
    <t>user_name</t>
  </si>
  <si>
    <t>用户管理表</t>
    <phoneticPr fontId="9" type="noConversion"/>
  </si>
  <si>
    <t>id</t>
    <phoneticPr fontId="9" type="noConversion"/>
  </si>
  <si>
    <t>访问IP</t>
    <phoneticPr fontId="9" type="noConversion"/>
  </si>
  <si>
    <t>访问时间</t>
    <phoneticPr fontId="9" type="noConversion"/>
  </si>
  <si>
    <t>access_ip</t>
    <phoneticPr fontId="9" type="noConversion"/>
  </si>
  <si>
    <t>access_time</t>
    <phoneticPr fontId="9" type="noConversion"/>
  </si>
  <si>
    <t>用户姓名</t>
    <phoneticPr fontId="9" type="noConversion"/>
  </si>
  <si>
    <t>user_name</t>
    <phoneticPr fontId="9" type="noConversion"/>
  </si>
  <si>
    <t>手机号码</t>
    <phoneticPr fontId="9" type="noConversion"/>
  </si>
  <si>
    <t>mobile</t>
    <phoneticPr fontId="9" type="noConversion"/>
  </si>
  <si>
    <t>电子邮箱</t>
    <phoneticPr fontId="9" type="noConversion"/>
  </si>
  <si>
    <t>email</t>
    <phoneticPr fontId="9" type="noConversion"/>
  </si>
  <si>
    <t>状态</t>
    <phoneticPr fontId="9" type="noConversion"/>
  </si>
  <si>
    <t>status</t>
    <phoneticPr fontId="9" type="noConversion"/>
  </si>
  <si>
    <t>0</t>
    <phoneticPr fontId="9" type="noConversion"/>
  </si>
  <si>
    <t>客户ID</t>
    <phoneticPr fontId="9" type="noConversion"/>
  </si>
  <si>
    <t>联系人</t>
    <phoneticPr fontId="9" type="noConversion"/>
  </si>
  <si>
    <t>operations_id</t>
    <phoneticPr fontId="9" type="noConversion"/>
  </si>
  <si>
    <t>上级单位</t>
    <phoneticPr fontId="9" type="noConversion"/>
  </si>
  <si>
    <t>unit_id</t>
    <phoneticPr fontId="9" type="noConversion"/>
  </si>
  <si>
    <t>province_code</t>
    <phoneticPr fontId="9" type="noConversion"/>
  </si>
  <si>
    <t>city_code</t>
    <phoneticPr fontId="9" type="noConversion"/>
  </si>
  <si>
    <t>area_code</t>
    <phoneticPr fontId="9" type="noConversion"/>
  </si>
  <si>
    <t>address</t>
    <phoneticPr fontId="9" type="noConversion"/>
  </si>
  <si>
    <t>删除标识</t>
    <phoneticPr fontId="9" type="noConversion"/>
  </si>
  <si>
    <t>is_delete</t>
    <phoneticPr fontId="9" type="noConversion"/>
  </si>
  <si>
    <t>0:否  1:是</t>
    <phoneticPr fontId="9" type="noConversion"/>
  </si>
  <si>
    <t>微企</t>
    <phoneticPr fontId="9" type="noConversion"/>
  </si>
  <si>
    <t>返回一览</t>
    <phoneticPr fontId="9" type="noConversion"/>
  </si>
  <si>
    <t>运维单位信息管理表</t>
    <phoneticPr fontId="9" type="noConversion"/>
  </si>
  <si>
    <t>序号</t>
    <phoneticPr fontId="9" type="noConversion"/>
  </si>
  <si>
    <t>运维单位名称</t>
    <phoneticPr fontId="9" type="noConversion"/>
  </si>
  <si>
    <t>运维单位编号</t>
    <phoneticPr fontId="9" type="noConversion"/>
  </si>
  <si>
    <t>unit_name</t>
    <phoneticPr fontId="9" type="noConversion"/>
  </si>
  <si>
    <t>unit_code</t>
    <phoneticPr fontId="9" type="noConversion"/>
  </si>
  <si>
    <t>姓名</t>
    <phoneticPr fontId="9" type="noConversion"/>
  </si>
  <si>
    <t>职务</t>
    <phoneticPr fontId="9" type="noConversion"/>
  </si>
  <si>
    <t>运维客户</t>
    <phoneticPr fontId="9" type="noConversion"/>
  </si>
  <si>
    <t>job</t>
    <phoneticPr fontId="9" type="noConversion"/>
  </si>
  <si>
    <t>运维团队信息管理表</t>
    <phoneticPr fontId="9" type="noConversion"/>
  </si>
  <si>
    <t>picture_url</t>
    <phoneticPr fontId="9" type="noConversion"/>
  </si>
  <si>
    <t>show_time</t>
    <phoneticPr fontId="9" type="noConversion"/>
  </si>
  <si>
    <t>广告描述</t>
    <phoneticPr fontId="9" type="noConversion"/>
  </si>
  <si>
    <t>describe</t>
    <phoneticPr fontId="9" type="noConversion"/>
  </si>
  <si>
    <t>operate_type</t>
    <phoneticPr fontId="9" type="noConversion"/>
  </si>
  <si>
    <t>modules</t>
    <phoneticPr fontId="9" type="noConversion"/>
  </si>
  <si>
    <t>操作时间</t>
    <phoneticPr fontId="9" type="noConversion"/>
  </si>
  <si>
    <t>s_customer</t>
    <phoneticPr fontId="9" type="noConversion"/>
  </si>
  <si>
    <t>客户信息管理表</t>
  </si>
  <si>
    <t>客户信息管理表</t>
    <phoneticPr fontId="9" type="noConversion"/>
  </si>
  <si>
    <t>人员信息管理表</t>
  </si>
  <si>
    <t>2021/5/10</t>
    <phoneticPr fontId="9" type="noConversion"/>
  </si>
  <si>
    <t>2021/5/10</t>
    <phoneticPr fontId="9" type="noConversion"/>
  </si>
  <si>
    <t>1：WEB端 2：小程序</t>
    <phoneticPr fontId="9" type="noConversion"/>
  </si>
  <si>
    <t>s_user</t>
    <phoneticPr fontId="9" type="noConversion"/>
  </si>
  <si>
    <t>user_code</t>
    <phoneticPr fontId="9" type="noConversion"/>
  </si>
  <si>
    <t>登录密码</t>
    <phoneticPr fontId="9" type="noConversion"/>
  </si>
  <si>
    <t>user_password</t>
    <phoneticPr fontId="9" type="noConversion"/>
  </si>
  <si>
    <t>varchar(255)</t>
    <phoneticPr fontId="9" type="noConversion"/>
  </si>
  <si>
    <t>customer_id</t>
    <phoneticPr fontId="9" type="noConversion"/>
  </si>
  <si>
    <t>is_admin</t>
    <phoneticPr fontId="9" type="noConversion"/>
  </si>
  <si>
    <t>dic_code</t>
    <phoneticPr fontId="9" type="noConversion"/>
  </si>
  <si>
    <t xml:space="preserve"> 0：否 1：是</t>
    <phoneticPr fontId="9" type="noConversion"/>
  </si>
  <si>
    <t>s_dic</t>
    <phoneticPr fontId="9" type="noConversion"/>
  </si>
  <si>
    <t>s_act_log</t>
    <phoneticPr fontId="9" type="noConversion"/>
  </si>
  <si>
    <t>0</t>
    <phoneticPr fontId="9" type="noConversion"/>
  </si>
  <si>
    <t>int8</t>
  </si>
  <si>
    <t>int8</t>
    <phoneticPr fontId="9" type="noConversion"/>
  </si>
  <si>
    <t>int8</t>
    <phoneticPr fontId="9" type="noConversion"/>
  </si>
  <si>
    <t>timestamp</t>
  </si>
  <si>
    <t>数据编号</t>
    <phoneticPr fontId="9" type="noConversion"/>
  </si>
  <si>
    <t>园区编号</t>
    <phoneticPr fontId="9" type="noConversion"/>
  </si>
  <si>
    <t>园区名称</t>
    <phoneticPr fontId="9" type="noConversion"/>
  </si>
  <si>
    <t>customer_name</t>
    <phoneticPr fontId="9" type="noConversion"/>
  </si>
  <si>
    <t>contact_user_name</t>
    <phoneticPr fontId="9" type="noConversion"/>
  </si>
  <si>
    <t>contact_user_mobile</t>
    <phoneticPr fontId="9" type="noConversion"/>
  </si>
  <si>
    <t>contact_user_email</t>
    <phoneticPr fontId="9" type="noConversion"/>
  </si>
  <si>
    <t>关联运维单位</t>
    <phoneticPr fontId="9" type="noConversion"/>
  </si>
  <si>
    <t>园区地址-省</t>
    <phoneticPr fontId="9" type="noConversion"/>
  </si>
  <si>
    <t>园区地址-市</t>
    <phoneticPr fontId="9" type="noConversion"/>
  </si>
  <si>
    <t>园区地址-区</t>
    <phoneticPr fontId="9" type="noConversion"/>
  </si>
  <si>
    <t>园区地址-详细地址</t>
    <phoneticPr fontId="9" type="noConversion"/>
  </si>
  <si>
    <t>parent_id</t>
    <phoneticPr fontId="9" type="noConversion"/>
  </si>
  <si>
    <t>用户编码</t>
    <phoneticPr fontId="9" type="noConversion"/>
  </si>
  <si>
    <t>customer_code</t>
    <phoneticPr fontId="9" type="noConversion"/>
  </si>
  <si>
    <t>varchar(50)</t>
    <phoneticPr fontId="9" type="noConversion"/>
  </si>
  <si>
    <t>用户类型</t>
    <phoneticPr fontId="9" type="noConversion"/>
  </si>
  <si>
    <t>0：普通用户 1：平台管理用户</t>
    <phoneticPr fontId="9" type="noConversion"/>
  </si>
  <si>
    <t>所属园区</t>
    <phoneticPr fontId="9" type="noConversion"/>
  </si>
  <si>
    <t>0：停用 1：可用</t>
    <phoneticPr fontId="9" type="noConversion"/>
  </si>
  <si>
    <t>s_menu</t>
    <phoneticPr fontId="9" type="noConversion"/>
  </si>
  <si>
    <t>运维单位ID</t>
    <phoneticPr fontId="9" type="noConversion"/>
  </si>
  <si>
    <t>广告显示图片</t>
    <phoneticPr fontId="9" type="noConversion"/>
  </si>
  <si>
    <t>广告显示开始日期</t>
    <phoneticPr fontId="9" type="noConversion"/>
  </si>
  <si>
    <t>广告显示结束日期</t>
    <phoneticPr fontId="9" type="noConversion"/>
  </si>
  <si>
    <t>s_advertising</t>
    <phoneticPr fontId="9" type="noConversion"/>
  </si>
  <si>
    <t>is_delete</t>
    <phoneticPr fontId="9" type="noConversion"/>
  </si>
  <si>
    <t>create_date</t>
    <phoneticPr fontId="9" type="noConversion"/>
  </si>
  <si>
    <t>所属运维单位</t>
    <phoneticPr fontId="9" type="noConversion"/>
  </si>
  <si>
    <t>广告轮播时间</t>
    <phoneticPr fontId="9" type="noConversion"/>
  </si>
  <si>
    <t>date</t>
    <phoneticPr fontId="9" type="noConversion"/>
  </si>
  <si>
    <t>start_date</t>
    <phoneticPr fontId="9" type="noConversion"/>
  </si>
  <si>
    <t>end_date</t>
    <phoneticPr fontId="9" type="noConversion"/>
  </si>
  <si>
    <t>广告轮转位置</t>
    <phoneticPr fontId="9" type="noConversion"/>
  </si>
  <si>
    <t>position</t>
    <phoneticPr fontId="9" type="noConversion"/>
  </si>
  <si>
    <t>登录页广告位管理表</t>
  </si>
  <si>
    <t>登录页广告位管理表</t>
    <phoneticPr fontId="9" type="noConversion"/>
  </si>
  <si>
    <t>0:  否  1:是</t>
    <phoneticPr fontId="9" type="noConversion"/>
  </si>
  <si>
    <t>用户ID</t>
    <phoneticPr fontId="9" type="noConversion"/>
  </si>
  <si>
    <t>user_id</t>
    <phoneticPr fontId="9" type="noConversion"/>
  </si>
  <si>
    <t>menu_id</t>
    <phoneticPr fontId="9" type="noConversion"/>
  </si>
  <si>
    <t>菜单ID</t>
    <phoneticPr fontId="9" type="noConversion"/>
  </si>
  <si>
    <t>浏览权限</t>
    <phoneticPr fontId="9" type="noConversion"/>
  </si>
  <si>
    <t>编辑权限</t>
    <phoneticPr fontId="9" type="noConversion"/>
  </si>
  <si>
    <t>edit_permissions</t>
    <phoneticPr fontId="9" type="noConversion"/>
  </si>
  <si>
    <t>browse_permissions</t>
    <phoneticPr fontId="9" type="noConversion"/>
  </si>
  <si>
    <t>人员菜单权限关系表</t>
  </si>
  <si>
    <t>s_user_menu</t>
    <phoneticPr fontId="9" type="noConversion"/>
  </si>
  <si>
    <t>人员菜单权限关系表</t>
    <phoneticPr fontId="9" type="noConversion"/>
  </si>
  <si>
    <t>西门子EMS智慧能源管理平台</t>
  </si>
  <si>
    <t>是否为综合管理</t>
    <phoneticPr fontId="9" type="noConversion"/>
  </si>
  <si>
    <t>is_manage</t>
    <phoneticPr fontId="9" type="noConversion"/>
  </si>
  <si>
    <t xml:space="preserve"> 0：否 1：是</t>
    <phoneticPr fontId="9" type="noConversion"/>
  </si>
  <si>
    <t>varchar(50)</t>
    <phoneticPr fontId="9" type="noConversion"/>
  </si>
  <si>
    <t>文件ID</t>
    <phoneticPr fontId="9" type="noConversion"/>
  </si>
  <si>
    <t>varchar(32)</t>
    <phoneticPr fontId="9" type="noConversion"/>
  </si>
  <si>
    <t>文件管理表</t>
  </si>
  <si>
    <t>文件管理表</t>
    <phoneticPr fontId="9" type="noConversion"/>
  </si>
  <si>
    <t>s_file_record</t>
    <phoneticPr fontId="9" type="noConversion"/>
  </si>
  <si>
    <t>load_path</t>
    <phoneticPr fontId="9" type="noConversion"/>
  </si>
  <si>
    <t>new_name</t>
    <phoneticPr fontId="9" type="noConversion"/>
  </si>
  <si>
    <t>original_name</t>
    <phoneticPr fontId="9" type="noConversion"/>
  </si>
  <si>
    <t>upload_time</t>
    <phoneticPr fontId="9" type="noConversion"/>
  </si>
  <si>
    <t>md5</t>
    <phoneticPr fontId="9" type="noConversion"/>
  </si>
  <si>
    <t>文件存储路径</t>
    <phoneticPr fontId="9" type="noConversion"/>
  </si>
  <si>
    <t>转存文件名称</t>
    <phoneticPr fontId="9" type="noConversion"/>
  </si>
  <si>
    <t>原文件名称</t>
    <phoneticPr fontId="9" type="noConversion"/>
  </si>
  <si>
    <t>文件大小</t>
    <phoneticPr fontId="9" type="noConversion"/>
  </si>
  <si>
    <t>size</t>
    <phoneticPr fontId="9" type="noConversion"/>
  </si>
  <si>
    <t>上传时间</t>
    <phoneticPr fontId="9" type="noConversion"/>
  </si>
  <si>
    <t>文件MD5</t>
    <phoneticPr fontId="9" type="noConversion"/>
  </si>
  <si>
    <t>运维单位信息管理表</t>
  </si>
  <si>
    <t>业务数据相关</t>
    <phoneticPr fontId="9" type="noConversion"/>
  </si>
  <si>
    <t>操作人名称</t>
    <phoneticPr fontId="9" type="noConversion"/>
  </si>
  <si>
    <t>操作人ID</t>
    <phoneticPr fontId="9" type="noConversion"/>
  </si>
  <si>
    <t>访问入口</t>
    <phoneticPr fontId="9" type="noConversion"/>
  </si>
  <si>
    <t>详细描述</t>
    <phoneticPr fontId="9" type="noConversion"/>
  </si>
  <si>
    <t>操作类型</t>
    <phoneticPr fontId="9" type="noConversion"/>
  </si>
  <si>
    <t>功能模块</t>
    <phoneticPr fontId="9" type="noConversion"/>
  </si>
  <si>
    <t>timestamp</t>
    <phoneticPr fontId="9" type="noConversion"/>
  </si>
  <si>
    <t>text</t>
    <phoneticPr fontId="9" type="noConversion"/>
  </si>
  <si>
    <t>access_type</t>
    <phoneticPr fontId="9" type="noConversion"/>
  </si>
  <si>
    <t>s_notice</t>
    <phoneticPr fontId="9" type="noConversion"/>
  </si>
  <si>
    <t>信息发布表</t>
  </si>
  <si>
    <t>信息发布表</t>
    <phoneticPr fontId="9" type="noConversion"/>
  </si>
  <si>
    <t>ID</t>
    <phoneticPr fontId="9" type="noConversion"/>
  </si>
  <si>
    <t>信息标题</t>
    <phoneticPr fontId="9" type="noConversion"/>
  </si>
  <si>
    <t>title</t>
    <phoneticPr fontId="9" type="noConversion"/>
  </si>
  <si>
    <t>类型</t>
    <phoneticPr fontId="9" type="noConversion"/>
  </si>
  <si>
    <t>type</t>
    <phoneticPr fontId="9" type="noConversion"/>
  </si>
  <si>
    <t>text</t>
    <phoneticPr fontId="9" type="noConversion"/>
  </si>
  <si>
    <t>信息摘要</t>
    <phoneticPr fontId="9" type="noConversion"/>
  </si>
  <si>
    <t>summary</t>
    <phoneticPr fontId="9" type="noConversion"/>
  </si>
  <si>
    <t>信息正文</t>
    <phoneticPr fontId="9" type="noConversion"/>
  </si>
  <si>
    <t>content</t>
    <phoneticPr fontId="9" type="noConversion"/>
  </si>
  <si>
    <t>publish_type</t>
    <phoneticPr fontId="9" type="noConversion"/>
  </si>
  <si>
    <t>varchar(1)</t>
    <phoneticPr fontId="9" type="noConversion"/>
  </si>
  <si>
    <t xml:space="preserve"> 0：全部客户 1：指定客户</t>
    <phoneticPr fontId="9" type="noConversion"/>
  </si>
  <si>
    <t>发布对象ID</t>
    <phoneticPr fontId="9" type="noConversion"/>
  </si>
  <si>
    <t>user_role</t>
    <phoneticPr fontId="9" type="noConversion"/>
  </si>
  <si>
    <t>所属角色</t>
    <phoneticPr fontId="9" type="noConversion"/>
  </si>
  <si>
    <t>customer_id</t>
    <phoneticPr fontId="9" type="noConversion"/>
  </si>
  <si>
    <t>longitude</t>
    <phoneticPr fontId="9" type="noConversion"/>
  </si>
  <si>
    <t>latitude</t>
    <phoneticPr fontId="9" type="noConversion"/>
  </si>
  <si>
    <t>经度</t>
    <phoneticPr fontId="9" type="noConversion"/>
  </si>
  <si>
    <t>纬度</t>
    <phoneticPr fontId="9" type="noConversion"/>
  </si>
  <si>
    <t>dic_type</t>
    <phoneticPr fontId="9" type="noConversion"/>
  </si>
  <si>
    <t>dic_type_name</t>
    <phoneticPr fontId="9" type="noConversion"/>
  </si>
  <si>
    <t>dic_info</t>
    <phoneticPr fontId="9" type="noConversion"/>
  </si>
  <si>
    <t>is_init</t>
    <phoneticPr fontId="9" type="noConversion"/>
  </si>
  <si>
    <t>数据类型</t>
    <phoneticPr fontId="9" type="noConversion"/>
  </si>
  <si>
    <t>类型名称</t>
    <phoneticPr fontId="9" type="noConversion"/>
  </si>
  <si>
    <t>数据内容</t>
    <phoneticPr fontId="9" type="noConversion"/>
  </si>
  <si>
    <t>是否预设数据</t>
    <phoneticPr fontId="9" type="noConversion"/>
  </si>
  <si>
    <t xml:space="preserve"> 0：否 1：是</t>
    <phoneticPr fontId="9" type="noConversion"/>
  </si>
  <si>
    <t>timestamp</t>
    <phoneticPr fontId="9" type="noConversion"/>
  </si>
  <si>
    <t>);</t>
    <phoneticPr fontId="9" type="noConversion"/>
  </si>
  <si>
    <t>主键ID</t>
    <phoneticPr fontId="9" type="noConversion"/>
  </si>
  <si>
    <t>-- ----------------------------</t>
    <phoneticPr fontId="9" type="noConversion"/>
  </si>
  <si>
    <t>numeric(9,6)</t>
    <phoneticPr fontId="9" type="noConversion"/>
  </si>
  <si>
    <t>dic_short_info</t>
    <phoneticPr fontId="9" type="noConversion"/>
  </si>
  <si>
    <t>parent_code</t>
    <phoneticPr fontId="9" type="noConversion"/>
  </si>
  <si>
    <t>上级编号</t>
    <phoneticPr fontId="9" type="noConversion"/>
  </si>
  <si>
    <t>数据内容简称</t>
    <phoneticPr fontId="9" type="noConversion"/>
  </si>
  <si>
    <t>login_failed_num</t>
    <phoneticPr fontId="9" type="noConversion"/>
  </si>
  <si>
    <t>login_failed_time</t>
    <phoneticPr fontId="9" type="noConversion"/>
  </si>
  <si>
    <t>int2</t>
    <phoneticPr fontId="9" type="noConversion"/>
  </si>
  <si>
    <t>登录错误回数</t>
    <phoneticPr fontId="9" type="noConversion"/>
  </si>
  <si>
    <t>登录错误时间</t>
    <phoneticPr fontId="9" type="noConversion"/>
  </si>
  <si>
    <t>s_operation_unit</t>
    <phoneticPr fontId="9" type="noConversion"/>
  </si>
  <si>
    <t>s_operation_team</t>
    <phoneticPr fontId="9" type="noConversion"/>
  </si>
  <si>
    <t>建筑信息表</t>
    <phoneticPr fontId="9" type="noConversion"/>
  </si>
  <si>
    <t>s_building</t>
    <phoneticPr fontId="9" type="noConversion"/>
  </si>
  <si>
    <t>建筑名称</t>
    <phoneticPr fontId="9" type="noConversion"/>
  </si>
  <si>
    <t>建筑类型</t>
    <phoneticPr fontId="9" type="noConversion"/>
  </si>
  <si>
    <t>建筑描述</t>
    <phoneticPr fontId="9" type="noConversion"/>
  </si>
  <si>
    <t>上级建筑</t>
    <phoneticPr fontId="9" type="noConversion"/>
  </si>
  <si>
    <t>varchar(255)</t>
    <phoneticPr fontId="9" type="noConversion"/>
  </si>
  <si>
    <t>building_type</t>
    <phoneticPr fontId="9" type="noConversion"/>
  </si>
  <si>
    <t>building_name</t>
    <phoneticPr fontId="9" type="noConversion"/>
  </si>
  <si>
    <t>building_desc</t>
    <phoneticPr fontId="9" type="noConversion"/>
  </si>
  <si>
    <t>customer_id</t>
    <phoneticPr fontId="9" type="noConversion"/>
  </si>
  <si>
    <t>parent_id</t>
    <phoneticPr fontId="9" type="noConversion"/>
  </si>
  <si>
    <t>设备信息表</t>
    <phoneticPr fontId="9" type="noConversion"/>
  </si>
  <si>
    <t>s_device</t>
    <phoneticPr fontId="9" type="noConversion"/>
  </si>
  <si>
    <t>设备类型</t>
    <phoneticPr fontId="9" type="noConversion"/>
  </si>
  <si>
    <t>设备型号</t>
    <phoneticPr fontId="9" type="noConversion"/>
  </si>
  <si>
    <t>维护周期</t>
    <phoneticPr fontId="9" type="noConversion"/>
  </si>
  <si>
    <t>IP地址</t>
    <phoneticPr fontId="9" type="noConversion"/>
  </si>
  <si>
    <t>设备项目</t>
    <phoneticPr fontId="9" type="noConversion"/>
  </si>
  <si>
    <t>设备编号</t>
    <phoneticPr fontId="9" type="noConversion"/>
  </si>
  <si>
    <t>安装时间</t>
    <phoneticPr fontId="9" type="noConversion"/>
  </si>
  <si>
    <t>设备序列号</t>
    <phoneticPr fontId="9" type="noConversion"/>
  </si>
  <si>
    <t>设备位置</t>
    <phoneticPr fontId="9" type="noConversion"/>
  </si>
  <si>
    <t>设备名称</t>
    <phoneticPr fontId="9" type="noConversion"/>
  </si>
  <si>
    <t>device_code</t>
    <phoneticPr fontId="9" type="noConversion"/>
  </si>
  <si>
    <t>device_name</t>
    <phoneticPr fontId="9" type="noConversion"/>
  </si>
  <si>
    <t>device_type</t>
    <phoneticPr fontId="9" type="noConversion"/>
  </si>
  <si>
    <t>device_model</t>
    <phoneticPr fontId="9" type="noConversion"/>
  </si>
  <si>
    <t>maintenance_cycle</t>
    <phoneticPr fontId="9" type="noConversion"/>
  </si>
  <si>
    <t>device_serialno</t>
    <phoneticPr fontId="9" type="noConversion"/>
  </si>
  <si>
    <t>设备年份</t>
    <phoneticPr fontId="9" type="noConversion"/>
  </si>
  <si>
    <t>device_year</t>
    <phoneticPr fontId="9" type="noConversion"/>
  </si>
  <si>
    <t>device_ip</t>
    <phoneticPr fontId="9" type="noConversion"/>
  </si>
  <si>
    <t>device_building_id</t>
    <phoneticPr fontId="9" type="noConversion"/>
  </si>
  <si>
    <t>设备分类</t>
    <phoneticPr fontId="9" type="noConversion"/>
  </si>
  <si>
    <t>device_classify_code</t>
    <phoneticPr fontId="9" type="noConversion"/>
  </si>
  <si>
    <t>device_item_code</t>
    <phoneticPr fontId="9" type="noConversion"/>
  </si>
  <si>
    <t>关联表计</t>
    <phoneticPr fontId="9" type="noConversion"/>
  </si>
  <si>
    <t>表计传感器信息表</t>
    <phoneticPr fontId="9" type="noConversion"/>
  </si>
  <si>
    <t>sensor_id</t>
    <phoneticPr fontId="9" type="noConversion"/>
  </si>
  <si>
    <t>表计编号</t>
    <phoneticPr fontId="9" type="noConversion"/>
  </si>
  <si>
    <t>表计名称</t>
    <phoneticPr fontId="9" type="noConversion"/>
  </si>
  <si>
    <t>起始数值</t>
    <phoneticPr fontId="9" type="noConversion"/>
  </si>
  <si>
    <t>表计规格</t>
    <phoneticPr fontId="9" type="noConversion"/>
  </si>
  <si>
    <t>s_sensor</t>
    <phoneticPr fontId="9" type="noConversion"/>
  </si>
  <si>
    <t>sensor_code</t>
    <phoneticPr fontId="9" type="noConversion"/>
  </si>
  <si>
    <t>sensor_name</t>
    <phoneticPr fontId="9" type="noConversion"/>
  </si>
  <si>
    <t>表计型号</t>
    <phoneticPr fontId="9" type="noConversion"/>
  </si>
  <si>
    <t>sensor_norm</t>
    <phoneticPr fontId="9" type="noConversion"/>
  </si>
  <si>
    <t>sensor_model</t>
    <phoneticPr fontId="9" type="noConversion"/>
  </si>
  <si>
    <t>starting_value</t>
    <phoneticPr fontId="9" type="noConversion"/>
  </si>
  <si>
    <t>互感器容量</t>
    <phoneticPr fontId="9" type="noConversion"/>
  </si>
  <si>
    <t>transformer_capacity</t>
    <phoneticPr fontId="9" type="noConversion"/>
  </si>
  <si>
    <t>sensor_building_id</t>
    <phoneticPr fontId="9" type="noConversion"/>
  </si>
  <si>
    <t>发布对象区分</t>
    <phoneticPr fontId="9" type="noConversion"/>
  </si>
  <si>
    <t>建筑信息表</t>
    <phoneticPr fontId="9" type="noConversion"/>
  </si>
  <si>
    <t>设备信息表</t>
    <phoneticPr fontId="9" type="noConversion"/>
  </si>
  <si>
    <t>表计传感器信息表</t>
    <phoneticPr fontId="9" type="noConversion"/>
  </si>
  <si>
    <t>device_wiring_diagram</t>
    <phoneticPr fontId="9" type="noConversion"/>
  </si>
  <si>
    <t>设备线路图</t>
    <phoneticPr fontId="9" type="noConversion"/>
  </si>
  <si>
    <t>device_image</t>
    <phoneticPr fontId="9" type="noConversion"/>
  </si>
  <si>
    <t>设备图片</t>
    <phoneticPr fontId="9" type="noConversion"/>
  </si>
  <si>
    <t>安装时间</t>
    <phoneticPr fontId="9" type="noConversion"/>
  </si>
  <si>
    <t>install_time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</si>
</sst>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rgb="FF000000"/>
      <name val="微软雅黑"/>
      <family val="2"/>
      <charset val="134"/>
    </font>
    <font>
      <u/>
      <sz val="11"/>
      <color theme="10"/>
      <name val="宋体"/>
      <family val="3"/>
      <charset val="134"/>
      <scheme val="minor"/>
    </font>
    <font>
      <b/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u/>
      <sz val="11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6" fillId="0" borderId="0"/>
  </cellStyleXfs>
  <cellXfs count="53">
    <xf numFmtId="0" fontId="0" fillId="0" borderId="0" xfId="0"/>
    <xf numFmtId="0" fontId="1" fillId="0" borderId="0" xfId="0" applyFont="1"/>
    <xf numFmtId="0" fontId="3" fillId="0" borderId="0" xfId="1"/>
    <xf numFmtId="0" fontId="1" fillId="0" borderId="5" xfId="0" applyFont="1" applyBorder="1" applyAlignment="1">
      <alignment vertical="center"/>
    </xf>
    <xf numFmtId="49" fontId="1" fillId="0" borderId="5" xfId="0" applyNumberFormat="1" applyFont="1" applyBorder="1" applyAlignment="1">
      <alignment vertical="center"/>
    </xf>
    <xf numFmtId="49" fontId="5" fillId="0" borderId="5" xfId="0" applyNumberFormat="1" applyFont="1" applyBorder="1" applyAlignment="1">
      <alignment vertical="center"/>
    </xf>
    <xf numFmtId="49" fontId="1" fillId="0" borderId="5" xfId="0" applyNumberFormat="1" applyFont="1" applyBorder="1" applyAlignment="1">
      <alignment horizontal="center" vertical="center"/>
    </xf>
    <xf numFmtId="49" fontId="5" fillId="0" borderId="5" xfId="2" applyNumberFormat="1" applyFont="1" applyBorder="1" applyAlignment="1">
      <alignment vertical="center"/>
    </xf>
    <xf numFmtId="0" fontId="6" fillId="0" borderId="0" xfId="2"/>
    <xf numFmtId="0" fontId="1" fillId="0" borderId="0" xfId="2" applyFont="1"/>
    <xf numFmtId="49" fontId="2" fillId="2" borderId="1" xfId="2" applyNumberFormat="1" applyFont="1" applyFill="1" applyBorder="1" applyAlignment="1">
      <alignment vertical="center" wrapText="1"/>
    </xf>
    <xf numFmtId="49" fontId="2" fillId="2" borderId="2" xfId="2" applyNumberFormat="1" applyFont="1" applyFill="1" applyBorder="1" applyAlignment="1">
      <alignment vertical="center" wrapText="1"/>
    </xf>
    <xf numFmtId="49" fontId="2" fillId="2" borderId="4" xfId="2" applyNumberFormat="1" applyFont="1" applyFill="1" applyBorder="1" applyAlignment="1">
      <alignment vertical="center" wrapText="1"/>
    </xf>
    <xf numFmtId="49" fontId="2" fillId="2" borderId="5" xfId="2" applyNumberFormat="1" applyFont="1" applyFill="1" applyBorder="1" applyAlignment="1">
      <alignment vertical="center" wrapText="1"/>
    </xf>
    <xf numFmtId="0" fontId="2" fillId="2" borderId="5" xfId="2" applyFont="1" applyFill="1" applyBorder="1" applyAlignment="1">
      <alignment horizontal="center" vertical="center"/>
    </xf>
    <xf numFmtId="49" fontId="2" fillId="2" borderId="5" xfId="2" applyNumberFormat="1" applyFont="1" applyFill="1" applyBorder="1" applyAlignment="1">
      <alignment horizontal="center" vertical="center"/>
    </xf>
    <xf numFmtId="49" fontId="1" fillId="0" borderId="5" xfId="2" applyNumberFormat="1" applyFont="1" applyBorder="1" applyAlignment="1">
      <alignment vertical="center"/>
    </xf>
    <xf numFmtId="49" fontId="1" fillId="0" borderId="5" xfId="2" applyNumberFormat="1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2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3" fillId="0" borderId="5" xfId="1" applyBorder="1"/>
    <xf numFmtId="0" fontId="7" fillId="0" borderId="5" xfId="0" applyFont="1" applyBorder="1"/>
    <xf numFmtId="49" fontId="1" fillId="0" borderId="5" xfId="0" quotePrefix="1" applyNumberFormat="1" applyFont="1" applyBorder="1" applyAlignment="1">
      <alignment vertical="center"/>
    </xf>
    <xf numFmtId="49" fontId="1" fillId="0" borderId="5" xfId="2" quotePrefix="1" applyNumberFormat="1" applyFont="1" applyBorder="1" applyAlignment="1">
      <alignment vertical="center"/>
    </xf>
    <xf numFmtId="0" fontId="6" fillId="0" borderId="0" xfId="0" applyFont="1"/>
    <xf numFmtId="0" fontId="7" fillId="0" borderId="14" xfId="0" applyFont="1" applyBorder="1" applyAlignment="1">
      <alignment horizontal="center"/>
    </xf>
    <xf numFmtId="22" fontId="6" fillId="0" borderId="0" xfId="2" applyNumberFormat="1"/>
    <xf numFmtId="49" fontId="1" fillId="0" borderId="5" xfId="0" applyNumberFormat="1" applyFont="1" applyBorder="1" applyAlignment="1">
      <alignment vertical="center" wrapText="1"/>
    </xf>
    <xf numFmtId="0" fontId="10" fillId="0" borderId="5" xfId="0" applyFont="1" applyBorder="1"/>
    <xf numFmtId="0" fontId="11" fillId="0" borderId="0" xfId="0" applyFont="1"/>
    <xf numFmtId="0" fontId="1" fillId="0" borderId="0" xfId="0" quotePrefix="1" applyFont="1"/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49" fontId="4" fillId="2" borderId="7" xfId="2" applyNumberFormat="1" applyFont="1" applyFill="1" applyBorder="1" applyAlignment="1">
      <alignment vertical="center" wrapText="1"/>
    </xf>
    <xf numFmtId="0" fontId="1" fillId="2" borderId="0" xfId="2" applyFont="1" applyFill="1" applyBorder="1" applyAlignment="1">
      <alignment vertical="center" wrapText="1"/>
    </xf>
    <xf numFmtId="0" fontId="1" fillId="2" borderId="8" xfId="2" applyFont="1" applyFill="1" applyBorder="1" applyAlignment="1">
      <alignment vertical="center" wrapText="1"/>
    </xf>
    <xf numFmtId="49" fontId="1" fillId="0" borderId="7" xfId="2" applyNumberFormat="1" applyFont="1" applyBorder="1" applyAlignment="1">
      <alignment vertical="top" wrapText="1"/>
    </xf>
    <xf numFmtId="0" fontId="1" fillId="0" borderId="0" xfId="2" applyFont="1" applyBorder="1" applyAlignment="1">
      <alignment vertical="top"/>
    </xf>
    <xf numFmtId="0" fontId="1" fillId="0" borderId="8" xfId="2" applyFont="1" applyBorder="1" applyAlignment="1">
      <alignment vertical="top"/>
    </xf>
    <xf numFmtId="0" fontId="1" fillId="0" borderId="7" xfId="2" applyFont="1" applyBorder="1" applyAlignment="1">
      <alignment vertical="top"/>
    </xf>
    <xf numFmtId="0" fontId="1" fillId="0" borderId="9" xfId="2" applyFont="1" applyBorder="1" applyAlignment="1">
      <alignment vertical="top"/>
    </xf>
    <xf numFmtId="0" fontId="1" fillId="0" borderId="10" xfId="2" applyFont="1" applyBorder="1" applyAlignment="1">
      <alignment vertical="top"/>
    </xf>
    <xf numFmtId="0" fontId="1" fillId="0" borderId="11" xfId="2" applyFont="1" applyBorder="1" applyAlignment="1">
      <alignment vertical="top"/>
    </xf>
    <xf numFmtId="49" fontId="1" fillId="0" borderId="2" xfId="2" applyNumberFormat="1" applyFont="1" applyBorder="1" applyAlignment="1">
      <alignment vertical="center" wrapText="1"/>
    </xf>
    <xf numFmtId="0" fontId="1" fillId="0" borderId="2" xfId="2" applyFont="1" applyBorder="1" applyAlignment="1">
      <alignment vertical="center" wrapText="1"/>
    </xf>
    <xf numFmtId="0" fontId="1" fillId="0" borderId="3" xfId="2" applyFont="1" applyBorder="1" applyAlignment="1">
      <alignment vertical="center" wrapText="1"/>
    </xf>
    <xf numFmtId="49" fontId="1" fillId="0" borderId="5" xfId="2" applyNumberFormat="1" applyFont="1" applyBorder="1" applyAlignment="1">
      <alignment vertical="center" wrapText="1"/>
    </xf>
    <xf numFmtId="0" fontId="1" fillId="0" borderId="5" xfId="2" applyFont="1" applyBorder="1" applyAlignment="1">
      <alignment vertical="center" wrapText="1"/>
    </xf>
    <xf numFmtId="14" fontId="1" fillId="0" borderId="5" xfId="2" applyNumberFormat="1" applyFont="1" applyBorder="1" applyAlignment="1">
      <alignment vertical="center" wrapText="1"/>
    </xf>
    <xf numFmtId="0" fontId="1" fillId="0" borderId="6" xfId="2" applyFont="1" applyBorder="1" applyAlignment="1">
      <alignment vertical="center" wrapText="1"/>
    </xf>
  </cellXfs>
  <cellStyles count="3">
    <cellStyle name="常规" xfId="0" builtinId="0"/>
    <cellStyle name="常规 2" xfId="2"/>
    <cellStyle name="超链接" xfId="1" builtinId="8"/>
  </cellStyles>
  <dxfs count="0"/>
  <tableStyles count="0" defaultTableStyle="TableStyleMedium2" defaultPivotStyle="PivotStyleMedium9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</xdr:row>
          <xdr:rowOff>123825</xdr:rowOff>
        </xdr:from>
        <xdr:to>
          <xdr:col>10</xdr:col>
          <xdr:colOff>123825</xdr:colOff>
          <xdr:row>6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生成建表定义SQL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22"/>
  <sheetViews>
    <sheetView workbookViewId="0"/>
  </sheetViews>
  <sheetFormatPr defaultColWidth="9" defaultRowHeight="16.5" x14ac:dyDescent="0.3"/>
  <cols>
    <col min="1" max="1" width="1" style="18" customWidth="1"/>
    <col min="2" max="2" width="6.5" style="19" customWidth="1"/>
    <col min="3" max="3" width="13.25" style="18" customWidth="1"/>
    <col min="4" max="4" width="31.875" style="18" customWidth="1"/>
    <col min="5" max="5" width="30.125" style="18" customWidth="1"/>
    <col min="6" max="6" width="37.875" style="18" customWidth="1"/>
    <col min="7" max="16384" width="9" style="18"/>
  </cols>
  <sheetData>
    <row r="1" spans="2:6" ht="6" customHeight="1" x14ac:dyDescent="0.3"/>
    <row r="2" spans="2:6" ht="21" x14ac:dyDescent="0.3">
      <c r="B2" s="20" t="s">
        <v>0</v>
      </c>
      <c r="C2" s="20" t="s">
        <v>1</v>
      </c>
      <c r="D2" s="20" t="s">
        <v>2</v>
      </c>
      <c r="E2" s="20" t="s">
        <v>3</v>
      </c>
      <c r="F2" s="20" t="s">
        <v>4</v>
      </c>
    </row>
    <row r="3" spans="2:6" x14ac:dyDescent="0.3">
      <c r="B3" s="27">
        <f t="shared" ref="B3:B22" si="0">ROW()-2</f>
        <v>1</v>
      </c>
      <c r="C3" s="33" t="s">
        <v>6</v>
      </c>
      <c r="D3" s="22" t="s">
        <v>113</v>
      </c>
      <c r="E3" s="23" t="str">
        <f t="shared" ref="E3:E10" ca="1" si="1">INDIRECT(D3&amp;"!C4")</f>
        <v>s_customer</v>
      </c>
      <c r="F3" s="23" t="str">
        <f t="shared" ref="F3:F4" ca="1" si="2">INDIRECT(D3&amp;"!B6")</f>
        <v xml:space="preserve"> </v>
      </c>
    </row>
    <row r="4" spans="2:6" x14ac:dyDescent="0.3">
      <c r="B4" s="21">
        <f t="shared" si="0"/>
        <v>2</v>
      </c>
      <c r="C4" s="34"/>
      <c r="D4" s="22" t="s">
        <v>115</v>
      </c>
      <c r="E4" s="23" t="str">
        <f t="shared" ca="1" si="1"/>
        <v>s_user</v>
      </c>
      <c r="F4" s="23" t="str">
        <f t="shared" ca="1" si="2"/>
        <v xml:space="preserve"> </v>
      </c>
    </row>
    <row r="5" spans="2:6" x14ac:dyDescent="0.3">
      <c r="B5" s="27">
        <f t="shared" si="0"/>
        <v>3</v>
      </c>
      <c r="C5" s="34"/>
      <c r="D5" s="22" t="s">
        <v>181</v>
      </c>
      <c r="E5" s="23" t="str">
        <f t="shared" ca="1" si="1"/>
        <v>s_user_menu</v>
      </c>
      <c r="F5" s="23" t="str">
        <f ca="1">INDIRECT(D5&amp;"!B6")</f>
        <v xml:space="preserve"> </v>
      </c>
    </row>
    <row r="6" spans="2:6" x14ac:dyDescent="0.3">
      <c r="B6" s="21">
        <f t="shared" si="0"/>
        <v>4</v>
      </c>
      <c r="C6" s="34"/>
      <c r="D6" s="22" t="s">
        <v>206</v>
      </c>
      <c r="E6" s="23" t="str">
        <f t="shared" ca="1" si="1"/>
        <v>s_operation_unit</v>
      </c>
      <c r="F6" s="23"/>
    </row>
    <row r="7" spans="2:6" x14ac:dyDescent="0.3">
      <c r="B7" s="21">
        <f t="shared" si="0"/>
        <v>5</v>
      </c>
      <c r="C7" s="34"/>
      <c r="D7" s="22" t="s">
        <v>104</v>
      </c>
      <c r="E7" s="23" t="str">
        <f ca="1">INDIRECT(D7&amp;"!C4")</f>
        <v>s_operation_team</v>
      </c>
      <c r="F7" s="23"/>
    </row>
    <row r="8" spans="2:6" x14ac:dyDescent="0.3">
      <c r="B8" s="27">
        <f t="shared" si="0"/>
        <v>6</v>
      </c>
      <c r="C8" s="34"/>
      <c r="D8" s="22" t="s">
        <v>170</v>
      </c>
      <c r="E8" s="23" t="str">
        <f t="shared" ca="1" si="1"/>
        <v>s_advertising</v>
      </c>
      <c r="F8" s="23"/>
    </row>
    <row r="9" spans="2:6" x14ac:dyDescent="0.3">
      <c r="B9" s="21">
        <f t="shared" si="0"/>
        <v>7</v>
      </c>
      <c r="C9" s="34"/>
      <c r="D9" s="22" t="s">
        <v>5</v>
      </c>
      <c r="E9" s="23" t="str">
        <f t="shared" ca="1" si="1"/>
        <v>s_dic</v>
      </c>
      <c r="F9" s="23"/>
    </row>
    <row r="10" spans="2:6" x14ac:dyDescent="0.3">
      <c r="B10" s="27">
        <f t="shared" si="0"/>
        <v>8</v>
      </c>
      <c r="C10" s="34"/>
      <c r="D10" s="22" t="s">
        <v>62</v>
      </c>
      <c r="E10" s="23" t="str">
        <f t="shared" ca="1" si="1"/>
        <v>s_act_log</v>
      </c>
      <c r="F10" s="23"/>
    </row>
    <row r="11" spans="2:6" x14ac:dyDescent="0.3">
      <c r="B11" s="21">
        <f t="shared" si="0"/>
        <v>9</v>
      </c>
      <c r="C11" s="34"/>
      <c r="D11" s="22" t="s">
        <v>38</v>
      </c>
      <c r="E11" s="23" t="str">
        <f t="shared" ref="E11:E12" ca="1" si="3">INDIRECT(D11&amp;"!C4")</f>
        <v>s_menu</v>
      </c>
      <c r="F11" s="23"/>
    </row>
    <row r="12" spans="2:6" x14ac:dyDescent="0.3">
      <c r="B12" s="27">
        <f t="shared" si="0"/>
        <v>10</v>
      </c>
      <c r="C12" s="34"/>
      <c r="D12" s="22" t="s">
        <v>191</v>
      </c>
      <c r="E12" s="23" t="str">
        <f t="shared" ca="1" si="3"/>
        <v>s_file_record</v>
      </c>
      <c r="F12" s="23"/>
    </row>
    <row r="13" spans="2:6" x14ac:dyDescent="0.3">
      <c r="B13" s="21">
        <f t="shared" si="0"/>
        <v>11</v>
      </c>
      <c r="C13" s="34"/>
      <c r="D13" s="22" t="s">
        <v>218</v>
      </c>
      <c r="E13" s="23" t="str">
        <f t="shared" ref="E13" ca="1" si="4">INDIRECT(D13&amp;"!C4")</f>
        <v>s_notice</v>
      </c>
      <c r="F13" s="23"/>
    </row>
    <row r="14" spans="2:6" x14ac:dyDescent="0.3">
      <c r="B14" s="21">
        <f t="shared" si="0"/>
        <v>12</v>
      </c>
      <c r="C14" s="34"/>
      <c r="D14" s="22" t="s">
        <v>321</v>
      </c>
      <c r="E14" s="23" t="str">
        <f t="shared" ref="E14:E16" ca="1" si="5">INDIRECT(D14&amp;"!C4")</f>
        <v>s_building</v>
      </c>
      <c r="F14" s="23"/>
    </row>
    <row r="15" spans="2:6" x14ac:dyDescent="0.3">
      <c r="B15" s="21">
        <f t="shared" si="0"/>
        <v>13</v>
      </c>
      <c r="C15" s="34"/>
      <c r="D15" s="22" t="s">
        <v>322</v>
      </c>
      <c r="E15" s="23" t="str">
        <f t="shared" ca="1" si="5"/>
        <v>s_device</v>
      </c>
      <c r="F15" s="23"/>
    </row>
    <row r="16" spans="2:6" x14ac:dyDescent="0.3">
      <c r="B16" s="21">
        <f t="shared" si="0"/>
        <v>14</v>
      </c>
      <c r="C16" s="34"/>
      <c r="D16" s="22" t="s">
        <v>323</v>
      </c>
      <c r="E16" s="23" t="str">
        <f t="shared" ca="1" si="5"/>
        <v>s_sensor</v>
      </c>
      <c r="F16" s="23"/>
    </row>
    <row r="17" spans="2:6" x14ac:dyDescent="0.3">
      <c r="B17" s="21">
        <f t="shared" si="0"/>
        <v>15</v>
      </c>
      <c r="C17" s="35"/>
      <c r="D17" s="22"/>
      <c r="E17" s="23"/>
      <c r="F17" s="23"/>
    </row>
    <row r="18" spans="2:6" x14ac:dyDescent="0.3">
      <c r="B18" s="27">
        <f t="shared" si="0"/>
        <v>16</v>
      </c>
      <c r="C18" s="33" t="s">
        <v>207</v>
      </c>
      <c r="D18" s="30"/>
      <c r="E18" s="23"/>
      <c r="F18" s="23"/>
    </row>
    <row r="19" spans="2:6" x14ac:dyDescent="0.3">
      <c r="B19" s="21">
        <f t="shared" si="0"/>
        <v>17</v>
      </c>
      <c r="C19" s="34"/>
      <c r="D19" s="30"/>
      <c r="E19" s="23"/>
      <c r="F19" s="23"/>
    </row>
    <row r="20" spans="2:6" x14ac:dyDescent="0.3">
      <c r="B20" s="27">
        <f t="shared" si="0"/>
        <v>18</v>
      </c>
      <c r="C20" s="34"/>
      <c r="D20" s="30"/>
      <c r="E20" s="23"/>
      <c r="F20" s="23"/>
    </row>
    <row r="21" spans="2:6" x14ac:dyDescent="0.3">
      <c r="B21" s="21">
        <f t="shared" si="0"/>
        <v>19</v>
      </c>
      <c r="C21" s="34"/>
      <c r="D21" s="30"/>
      <c r="E21" s="23"/>
      <c r="F21" s="23"/>
    </row>
    <row r="22" spans="2:6" x14ac:dyDescent="0.3">
      <c r="B22" s="27">
        <f t="shared" si="0"/>
        <v>20</v>
      </c>
      <c r="C22" s="35"/>
      <c r="D22" s="30"/>
      <c r="E22" s="23"/>
      <c r="F22" s="23"/>
    </row>
  </sheetData>
  <mergeCells count="2">
    <mergeCell ref="C3:C17"/>
    <mergeCell ref="C18:C22"/>
  </mergeCells>
  <phoneticPr fontId="9" type="noConversion"/>
  <hyperlinks>
    <hyperlink ref="D7" location="运维团队信息管理表!A1" display="运维团队信息管理表"/>
    <hyperlink ref="D3" location="客户信息管理表!A1" display="客户信息管理表"/>
    <hyperlink ref="D4" location="人员信息管理表!A1" display="人员信息管理表"/>
    <hyperlink ref="D5" location="人员菜单权限关系表!A1" display="人员菜单权限关系表"/>
    <hyperlink ref="D6" location="运维单位信息管理表!A1" display="运维单位信息管理表"/>
    <hyperlink ref="D8" location="登录页广告位管理表!A1" display="登录页广告位管理表"/>
    <hyperlink ref="D9" location="数据字典表!A1" display="数据字典表"/>
    <hyperlink ref="D10" location="系统日志表!A1" display="系统日志表"/>
    <hyperlink ref="D11" location="菜单管理表!A1" display="菜单管理表"/>
    <hyperlink ref="D12" location="文件管理表!A1" display="文件管理表"/>
    <hyperlink ref="D13" location="信息发布表!A1" display="信息发布表"/>
    <hyperlink ref="D14" location="信息发布表!A1" display="信息发布表"/>
    <hyperlink ref="D15" location="信息发布表!A1" display="信息发布表"/>
    <hyperlink ref="D16" location="信息发布表!A1" display="信息发布表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tnCteate_Click">
                <anchor moveWithCells="1" sizeWithCells="1">
                  <from>
                    <xdr:col>6</xdr:col>
                    <xdr:colOff>371475</xdr:colOff>
                    <xdr:row>1</xdr:row>
                    <xdr:rowOff>123825</xdr:rowOff>
                  </from>
                  <to>
                    <xdr:col>10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36"/>
  <sheetViews>
    <sheetView topLeftCell="A13" workbookViewId="0">
      <selection activeCell="K36" sqref="K36"/>
    </sheetView>
  </sheetViews>
  <sheetFormatPr defaultRowHeight="13.5" x14ac:dyDescent="0.15"/>
  <cols>
    <col min="1" max="1" width="2.625" customWidth="1"/>
    <col min="3" max="3" width="19.5" bestFit="1" customWidth="1"/>
    <col min="4" max="4" width="21" bestFit="1" customWidth="1"/>
    <col min="5" max="5" width="19" customWidth="1"/>
    <col min="8" max="8" width="17.125" customWidth="1"/>
    <col min="10" max="10" width="30.5" customWidth="1"/>
    <col min="11" max="11" width="27.25" customWidth="1"/>
  </cols>
  <sheetData>
    <row r="1" spans="2:11" ht="18" thickBot="1" x14ac:dyDescent="0.35">
      <c r="J1" s="32" t="s">
        <v>253</v>
      </c>
    </row>
    <row r="2" spans="2:11" ht="18" x14ac:dyDescent="0.3"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J2" s="1" t="str">
        <f>"-- Table structure for  "&amp;$C$4&amp;" "&amp;$C$3</f>
        <v>-- Table structure for  s_customer 客户信息管理表</v>
      </c>
    </row>
    <row r="3" spans="2:11" ht="18" x14ac:dyDescent="0.3">
      <c r="B3" s="12" t="s">
        <v>10</v>
      </c>
      <c r="C3" s="49" t="s">
        <v>114</v>
      </c>
      <c r="D3" s="50"/>
      <c r="E3" s="13" t="s">
        <v>11</v>
      </c>
      <c r="F3" s="51">
        <v>44326</v>
      </c>
      <c r="G3" s="52"/>
      <c r="H3" s="9"/>
      <c r="I3" s="1"/>
      <c r="J3" s="32" t="s">
        <v>253</v>
      </c>
    </row>
    <row r="4" spans="2:11" ht="18" x14ac:dyDescent="0.3">
      <c r="B4" s="12" t="s">
        <v>12</v>
      </c>
      <c r="C4" s="49" t="s">
        <v>112</v>
      </c>
      <c r="D4" s="50"/>
      <c r="E4" s="13" t="s">
        <v>13</v>
      </c>
      <c r="F4" s="49"/>
      <c r="G4" s="52"/>
      <c r="H4" s="9"/>
      <c r="I4" s="18"/>
      <c r="J4" s="1" t="str">
        <f>"DROP TABLE IF EXISTS  ""public""."""&amp;$C$4&amp;""";"</f>
        <v>DROP TABLE IF EXISTS  "public"."s_customer";</v>
      </c>
    </row>
    <row r="5" spans="2:11" ht="17.25" x14ac:dyDescent="0.3">
      <c r="B5" s="36" t="s">
        <v>14</v>
      </c>
      <c r="C5" s="37"/>
      <c r="D5" s="37"/>
      <c r="E5" s="37"/>
      <c r="F5" s="37"/>
      <c r="G5" s="38"/>
      <c r="H5" s="9"/>
      <c r="J5" s="1" t="str">
        <f>"CREATE TABLE ""public""."""&amp;$C$4&amp;"""  ("</f>
        <v>CREATE TABLE "public"."s_customer"  (</v>
      </c>
    </row>
    <row r="6" spans="2:11" ht="17.25" x14ac:dyDescent="0.3">
      <c r="B6" s="39" t="s">
        <v>15</v>
      </c>
      <c r="C6" s="40"/>
      <c r="D6" s="40"/>
      <c r="E6" s="40"/>
      <c r="F6" s="40"/>
      <c r="G6" s="41"/>
      <c r="H6" s="9"/>
    </row>
    <row r="7" spans="2:11" ht="17.25" x14ac:dyDescent="0.3">
      <c r="B7" s="42"/>
      <c r="C7" s="40"/>
      <c r="D7" s="40"/>
      <c r="E7" s="40"/>
      <c r="F7" s="40"/>
      <c r="G7" s="41"/>
      <c r="H7" s="9"/>
    </row>
    <row r="8" spans="2:11" ht="18" thickBot="1" x14ac:dyDescent="0.35">
      <c r="B8" s="43"/>
      <c r="C8" s="44"/>
      <c r="D8" s="44"/>
      <c r="E8" s="44"/>
      <c r="F8" s="44"/>
      <c r="G8" s="45"/>
      <c r="H8" s="9"/>
    </row>
    <row r="9" spans="2:11" ht="17.25" x14ac:dyDescent="0.3">
      <c r="B9" s="9"/>
      <c r="C9" s="9"/>
      <c r="D9" s="9"/>
      <c r="E9" s="9"/>
      <c r="F9" s="9"/>
      <c r="G9" s="9"/>
      <c r="H9" s="9"/>
    </row>
    <row r="10" spans="2:11" ht="18" x14ac:dyDescent="0.15"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</row>
    <row r="11" spans="2:11" ht="17.25" x14ac:dyDescent="0.3">
      <c r="B11" s="3">
        <v>1</v>
      </c>
      <c r="C11" s="4" t="s">
        <v>80</v>
      </c>
      <c r="D11" s="4" t="s">
        <v>66</v>
      </c>
      <c r="E11" s="5" t="s">
        <v>131</v>
      </c>
      <c r="F11" s="6" t="s">
        <v>22</v>
      </c>
      <c r="G11" s="24" t="s">
        <v>23</v>
      </c>
      <c r="H11" s="24" t="s">
        <v>23</v>
      </c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"public"."s_customer"."id" IS '客户ID';</v>
      </c>
    </row>
    <row r="12" spans="2:11" ht="17.25" x14ac:dyDescent="0.3">
      <c r="B12" s="3">
        <v>2</v>
      </c>
      <c r="C12" s="16" t="s">
        <v>136</v>
      </c>
      <c r="D12" s="16" t="s">
        <v>149</v>
      </c>
      <c r="E12" s="16" t="s">
        <v>59</v>
      </c>
      <c r="F12" s="6" t="s">
        <v>22</v>
      </c>
      <c r="G12" s="25"/>
      <c r="H12" s="25"/>
      <c r="J12" t="str">
        <f t="shared" ref="J12:J29" si="0">","""&amp;D12&amp;""" "&amp;E12&amp;" "&amp;IF(F12="Y","NOT NULL ","")&amp;IF(G12="","","DEFAULT "&amp;IF(G12="","NULL",G12))</f>
        <v xml:space="preserve">,"customer_code" varchar(20) NOT NULL </v>
      </c>
      <c r="K12" s="1" t="str">
        <f>"COMMENT ON COLUMN ""public""."""&amp;$C$4&amp;"""."""&amp;D12&amp;""" IS '"&amp;C12&amp;H12&amp;"';"</f>
        <v>COMMENT ON COLUMN "public"."s_customer"."customer_code" IS '园区编号';</v>
      </c>
    </row>
    <row r="13" spans="2:11" ht="17.25" x14ac:dyDescent="0.3">
      <c r="B13" s="3">
        <v>3</v>
      </c>
      <c r="C13" s="16" t="s">
        <v>137</v>
      </c>
      <c r="D13" s="16" t="s">
        <v>138</v>
      </c>
      <c r="E13" s="16" t="s">
        <v>150</v>
      </c>
      <c r="F13" s="6" t="s">
        <v>22</v>
      </c>
      <c r="G13" s="16"/>
      <c r="H13" s="16"/>
      <c r="J13" t="str">
        <f t="shared" si="0"/>
        <v xml:space="preserve">,"customer_name" varchar(50) NOT NULL </v>
      </c>
      <c r="K13" s="1" t="str">
        <f t="shared" ref="K13:K29" si="1">"COMMENT ON COLUMN ""public""."""&amp;$C$4&amp;"""."""&amp;D13&amp;""" IS '"&amp;C13&amp;H13&amp;"';"</f>
        <v>COMMENT ON COLUMN "public"."s_customer"."customer_name" IS '园区名称';</v>
      </c>
    </row>
    <row r="14" spans="2:11" ht="17.25" x14ac:dyDescent="0.3">
      <c r="B14" s="3">
        <v>4</v>
      </c>
      <c r="C14" s="16" t="s">
        <v>81</v>
      </c>
      <c r="D14" s="16" t="s">
        <v>139</v>
      </c>
      <c r="E14" s="16" t="s">
        <v>150</v>
      </c>
      <c r="F14" s="6" t="s">
        <v>22</v>
      </c>
      <c r="G14" s="16"/>
      <c r="H14" s="16"/>
      <c r="J14" t="str">
        <f t="shared" si="0"/>
        <v xml:space="preserve">,"contact_user_name" varchar(50) NOT NULL </v>
      </c>
      <c r="K14" s="1" t="str">
        <f t="shared" si="1"/>
        <v>COMMENT ON COLUMN "public"."s_customer"."contact_user_name" IS '联系人';</v>
      </c>
    </row>
    <row r="15" spans="2:11" ht="17.25" x14ac:dyDescent="0.3">
      <c r="B15" s="3">
        <v>5</v>
      </c>
      <c r="C15" s="16" t="s">
        <v>73</v>
      </c>
      <c r="D15" s="16" t="s">
        <v>140</v>
      </c>
      <c r="E15" s="16" t="s">
        <v>59</v>
      </c>
      <c r="F15" s="6" t="s">
        <v>22</v>
      </c>
      <c r="G15" s="16"/>
      <c r="H15" s="16"/>
      <c r="J15" t="str">
        <f t="shared" si="0"/>
        <v xml:space="preserve">,"contact_user_mobile" varchar(20) NOT NULL </v>
      </c>
      <c r="K15" s="1" t="str">
        <f t="shared" si="1"/>
        <v>COMMENT ON COLUMN "public"."s_customer"."contact_user_mobile" IS '手机号码';</v>
      </c>
    </row>
    <row r="16" spans="2:11" ht="17.25" x14ac:dyDescent="0.3">
      <c r="B16" s="3">
        <v>6</v>
      </c>
      <c r="C16" s="16" t="s">
        <v>75</v>
      </c>
      <c r="D16" s="16" t="s">
        <v>141</v>
      </c>
      <c r="E16" s="16" t="s">
        <v>150</v>
      </c>
      <c r="F16" s="6" t="s">
        <v>22</v>
      </c>
      <c r="G16" s="16"/>
      <c r="H16" s="16"/>
      <c r="J16" t="str">
        <f t="shared" si="0"/>
        <v xml:space="preserve">,"contact_user_email" varchar(50) NOT NULL </v>
      </c>
      <c r="K16" s="1" t="str">
        <f t="shared" si="1"/>
        <v>COMMENT ON COLUMN "public"."s_customer"."contact_user_email" IS '电子邮箱';</v>
      </c>
    </row>
    <row r="17" spans="2:11" ht="17.25" x14ac:dyDescent="0.3">
      <c r="B17" s="3">
        <v>7</v>
      </c>
      <c r="C17" s="16" t="s">
        <v>142</v>
      </c>
      <c r="D17" s="29" t="s">
        <v>82</v>
      </c>
      <c r="E17" s="16" t="s">
        <v>131</v>
      </c>
      <c r="F17" s="6"/>
      <c r="G17" s="24"/>
      <c r="H17" s="4"/>
      <c r="J17" t="str">
        <f t="shared" si="0"/>
        <v xml:space="preserve">,"operations_id" int8 </v>
      </c>
      <c r="K17" s="1" t="str">
        <f t="shared" si="1"/>
        <v>COMMENT ON COLUMN "public"."s_customer"."operations_id" IS '关联运维单位';</v>
      </c>
    </row>
    <row r="18" spans="2:11" ht="17.25" x14ac:dyDescent="0.3">
      <c r="B18" s="3">
        <v>8</v>
      </c>
      <c r="C18" s="16" t="s">
        <v>83</v>
      </c>
      <c r="D18" s="4" t="s">
        <v>147</v>
      </c>
      <c r="E18" s="16" t="s">
        <v>131</v>
      </c>
      <c r="F18" s="6"/>
      <c r="G18" s="24"/>
      <c r="H18" s="4"/>
      <c r="J18" t="str">
        <f t="shared" si="0"/>
        <v xml:space="preserve">,"parent_id" int8 </v>
      </c>
      <c r="K18" s="1" t="str">
        <f t="shared" si="1"/>
        <v>COMMENT ON COLUMN "public"."s_customer"."parent_id" IS '上级单位';</v>
      </c>
    </row>
    <row r="19" spans="2:11" ht="17.25" x14ac:dyDescent="0.3">
      <c r="B19" s="3">
        <v>9</v>
      </c>
      <c r="C19" s="16" t="s">
        <v>143</v>
      </c>
      <c r="D19" s="4" t="s">
        <v>85</v>
      </c>
      <c r="E19" s="16" t="s">
        <v>59</v>
      </c>
      <c r="F19" s="6" t="s">
        <v>22</v>
      </c>
      <c r="G19" s="24"/>
      <c r="H19" s="4"/>
      <c r="J19" t="str">
        <f t="shared" si="0"/>
        <v xml:space="preserve">,"province_code" varchar(20) NOT NULL </v>
      </c>
      <c r="K19" s="1" t="str">
        <f t="shared" si="1"/>
        <v>COMMENT ON COLUMN "public"."s_customer"."province_code" IS '园区地址-省';</v>
      </c>
    </row>
    <row r="20" spans="2:11" ht="17.25" x14ac:dyDescent="0.3">
      <c r="B20" s="3">
        <v>10</v>
      </c>
      <c r="C20" s="16" t="s">
        <v>144</v>
      </c>
      <c r="D20" s="4" t="s">
        <v>86</v>
      </c>
      <c r="E20" s="16" t="s">
        <v>59</v>
      </c>
      <c r="F20" s="6" t="s">
        <v>22</v>
      </c>
      <c r="G20" s="24"/>
      <c r="H20" s="4"/>
      <c r="J20" t="str">
        <f t="shared" si="0"/>
        <v xml:space="preserve">,"city_code" varchar(20) NOT NULL </v>
      </c>
      <c r="K20" s="1" t="str">
        <f t="shared" si="1"/>
        <v>COMMENT ON COLUMN "public"."s_customer"."city_code" IS '园区地址-市';</v>
      </c>
    </row>
    <row r="21" spans="2:11" ht="17.25" x14ac:dyDescent="0.3">
      <c r="B21" s="3">
        <v>11</v>
      </c>
      <c r="C21" s="16" t="s">
        <v>145</v>
      </c>
      <c r="D21" s="4" t="s">
        <v>87</v>
      </c>
      <c r="E21" s="16" t="s">
        <v>59</v>
      </c>
      <c r="F21" s="6" t="s">
        <v>22</v>
      </c>
      <c r="G21" s="24"/>
      <c r="H21" s="4"/>
      <c r="J21" t="str">
        <f t="shared" si="0"/>
        <v xml:space="preserve">,"area_code" varchar(20) NOT NULL </v>
      </c>
      <c r="K21" s="1" t="str">
        <f t="shared" si="1"/>
        <v>COMMENT ON COLUMN "public"."s_customer"."area_code" IS '园区地址-区';</v>
      </c>
    </row>
    <row r="22" spans="2:11" ht="17.25" x14ac:dyDescent="0.3">
      <c r="B22" s="3">
        <v>12</v>
      </c>
      <c r="C22" s="16" t="s">
        <v>146</v>
      </c>
      <c r="D22" s="4" t="s">
        <v>88</v>
      </c>
      <c r="E22" s="16" t="s">
        <v>35</v>
      </c>
      <c r="F22" s="6" t="s">
        <v>22</v>
      </c>
      <c r="G22" s="24"/>
      <c r="H22" s="4"/>
      <c r="J22" t="str">
        <f t="shared" si="0"/>
        <v xml:space="preserve">,"address" varchar(255) NOT NULL </v>
      </c>
      <c r="K22" s="1" t="str">
        <f t="shared" si="1"/>
        <v>COMMENT ON COLUMN "public"."s_customer"."address" IS '园区地址-详细地址';</v>
      </c>
    </row>
    <row r="23" spans="2:11" ht="17.25" x14ac:dyDescent="0.3">
      <c r="B23" s="3">
        <v>13</v>
      </c>
      <c r="C23" s="16" t="s">
        <v>239</v>
      </c>
      <c r="D23" s="16" t="s">
        <v>237</v>
      </c>
      <c r="E23" s="16" t="s">
        <v>254</v>
      </c>
      <c r="F23" s="6" t="s">
        <v>22</v>
      </c>
      <c r="G23" s="24"/>
      <c r="H23" s="4"/>
      <c r="J23" t="str">
        <f t="shared" si="0"/>
        <v xml:space="preserve">,"longitude" numeric(9,6) NOT NULL </v>
      </c>
      <c r="K23" s="1" t="str">
        <f t="shared" si="1"/>
        <v>COMMENT ON COLUMN "public"."s_customer"."longitude" IS '经度';</v>
      </c>
    </row>
    <row r="24" spans="2:11" ht="17.25" x14ac:dyDescent="0.3">
      <c r="B24" s="3">
        <v>14</v>
      </c>
      <c r="C24" s="16" t="s">
        <v>240</v>
      </c>
      <c r="D24" s="16" t="s">
        <v>238</v>
      </c>
      <c r="E24" s="16" t="s">
        <v>254</v>
      </c>
      <c r="F24" s="6" t="s">
        <v>22</v>
      </c>
      <c r="G24" s="24"/>
      <c r="H24" s="4"/>
      <c r="J24" t="str">
        <f t="shared" si="0"/>
        <v xml:space="preserve">,"latitude" numeric(9,6) NOT NULL </v>
      </c>
      <c r="K24" s="1" t="str">
        <f t="shared" si="1"/>
        <v>COMMENT ON COLUMN "public"."s_customer"."latitude" IS '纬度';</v>
      </c>
    </row>
    <row r="25" spans="2:11" ht="17.25" x14ac:dyDescent="0.3">
      <c r="B25" s="3">
        <v>15</v>
      </c>
      <c r="C25" s="16" t="s">
        <v>89</v>
      </c>
      <c r="D25" s="4" t="s">
        <v>90</v>
      </c>
      <c r="E25" s="7" t="s">
        <v>26</v>
      </c>
      <c r="F25" s="6" t="s">
        <v>22</v>
      </c>
      <c r="G25" s="24" t="s">
        <v>79</v>
      </c>
      <c r="H25" s="4" t="s">
        <v>91</v>
      </c>
      <c r="J25" t="str">
        <f t="shared" si="0"/>
        <v>,"is_delete" varchar(1) NOT NULL DEFAULT 0</v>
      </c>
      <c r="K25" s="1" t="str">
        <f t="shared" si="1"/>
        <v>COMMENT ON COLUMN "public"."s_customer"."is_delete" IS '删除标识0:否  1:是';</v>
      </c>
    </row>
    <row r="26" spans="2:11" ht="17.25" x14ac:dyDescent="0.3">
      <c r="B26" s="3">
        <v>16</v>
      </c>
      <c r="C26" s="16" t="s">
        <v>27</v>
      </c>
      <c r="D26" s="16" t="s">
        <v>30</v>
      </c>
      <c r="E26" s="16" t="s">
        <v>134</v>
      </c>
      <c r="F26" s="6" t="s">
        <v>22</v>
      </c>
      <c r="G26" s="24"/>
      <c r="H26" s="4"/>
      <c r="I26" s="31"/>
      <c r="J26" t="str">
        <f t="shared" si="0"/>
        <v xml:space="preserve">,"create_date" timestamp NOT NULL </v>
      </c>
      <c r="K26" s="1" t="str">
        <f t="shared" si="1"/>
        <v>COMMENT ON COLUMN "public"."s_customer"."create_date" IS '创建时间';</v>
      </c>
    </row>
    <row r="27" spans="2:11" ht="17.25" x14ac:dyDescent="0.3">
      <c r="B27" s="3">
        <v>17</v>
      </c>
      <c r="C27" s="16" t="s">
        <v>8</v>
      </c>
      <c r="D27" s="16" t="s">
        <v>32</v>
      </c>
      <c r="E27" s="5" t="s">
        <v>131</v>
      </c>
      <c r="F27" s="6" t="s">
        <v>22</v>
      </c>
      <c r="G27" s="24"/>
      <c r="H27" s="4"/>
      <c r="I27" s="31"/>
      <c r="J27" t="str">
        <f t="shared" si="0"/>
        <v xml:space="preserve">,"create_by" int8 NOT NULL </v>
      </c>
      <c r="K27" s="1" t="str">
        <f t="shared" si="1"/>
        <v>COMMENT ON COLUMN "public"."s_customer"."create_by" IS '创建者';</v>
      </c>
    </row>
    <row r="28" spans="2:11" ht="17.25" x14ac:dyDescent="0.3">
      <c r="B28" s="3">
        <v>18</v>
      </c>
      <c r="C28" s="16" t="s">
        <v>28</v>
      </c>
      <c r="D28" s="16" t="s">
        <v>31</v>
      </c>
      <c r="E28" s="16" t="s">
        <v>134</v>
      </c>
      <c r="F28" s="6" t="s">
        <v>22</v>
      </c>
      <c r="G28" s="24"/>
      <c r="H28" s="4"/>
      <c r="J28" t="str">
        <f t="shared" si="0"/>
        <v xml:space="preserve">,"update_date" timestamp NOT NULL </v>
      </c>
      <c r="K28" s="1" t="str">
        <f t="shared" si="1"/>
        <v>COMMENT ON COLUMN "public"."s_customer"."update_date" IS '更新时间';</v>
      </c>
    </row>
    <row r="29" spans="2:11" ht="17.25" x14ac:dyDescent="0.3">
      <c r="B29" s="3">
        <v>19</v>
      </c>
      <c r="C29" s="16" t="s">
        <v>29</v>
      </c>
      <c r="D29" s="16" t="s">
        <v>33</v>
      </c>
      <c r="E29" s="5" t="s">
        <v>131</v>
      </c>
      <c r="F29" s="6" t="s">
        <v>22</v>
      </c>
      <c r="G29" s="24"/>
      <c r="H29" s="4"/>
      <c r="J29" t="str">
        <f t="shared" si="0"/>
        <v xml:space="preserve">,"update_by" int8 NOT NULL </v>
      </c>
      <c r="K29" s="1" t="str">
        <f t="shared" si="1"/>
        <v>COMMENT ON COLUMN "public"."s_customer"."update_by" IS '更新者';</v>
      </c>
    </row>
    <row r="30" spans="2:11" ht="17.25" x14ac:dyDescent="0.3">
      <c r="J30" s="1" t="s">
        <v>251</v>
      </c>
      <c r="K30" s="32" t="s">
        <v>253</v>
      </c>
    </row>
    <row r="31" spans="2:11" ht="17.25" x14ac:dyDescent="0.3">
      <c r="K31" s="1" t="str">
        <f>"-- Primary Key structure for table "&amp;$C$4</f>
        <v>-- Primary Key structure for table s_customer</v>
      </c>
    </row>
    <row r="32" spans="2:11" ht="17.25" x14ac:dyDescent="0.3">
      <c r="K32" s="32" t="s">
        <v>253</v>
      </c>
    </row>
    <row r="33" spans="3:11" x14ac:dyDescent="0.15">
      <c r="C33" s="26"/>
      <c r="K33" t="str">
        <f>"ALTER TABLE ""public""."""&amp;$C$4&amp;""" ADD CONSTRAINT """&amp;$C$4&amp;"_pkey"" PRIMARY KEY (""id"");"</f>
        <v>ALTER TABLE "public"."s_customer" ADD CONSTRAINT "s_customer_pkey" PRIMARY KEY ("id");</v>
      </c>
    </row>
    <row r="34" spans="3:11" x14ac:dyDescent="0.15">
      <c r="K34" t="str">
        <f>"DROP sequence IF EXISTS  ""public""."""&amp;$C$4&amp;"_seq"";"</f>
        <v>DROP sequence IF EXISTS  "public"."s_customer_seq";</v>
      </c>
    </row>
    <row r="35" spans="3:11" x14ac:dyDescent="0.15">
      <c r="K35" s="26" t="str">
        <f>"create sequence "&amp;$C$4&amp;"_seq start with 1;"</f>
        <v>create sequence s_customer_seq start with 1;</v>
      </c>
    </row>
    <row r="36" spans="3:11" x14ac:dyDescent="0.15">
      <c r="K36" s="26" t="str">
        <f>"alter table public."&amp;$C$4&amp;" alter column id set default nextval('"&amp;$C$4&amp;"_seq' ::regclass);"</f>
        <v>alter table public.s_customer alter column id set default nextval('s_customer_seq'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4"/>
  <sheetViews>
    <sheetView workbookViewId="0">
      <selection activeCell="A20" sqref="A20:XFD21"/>
    </sheetView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19.25" style="8" customWidth="1"/>
    <col min="5" max="5" width="16.375" style="8" customWidth="1"/>
    <col min="6" max="6" width="9.75" style="8" customWidth="1"/>
    <col min="7" max="7" width="7.75" style="8" customWidth="1"/>
    <col min="8" max="8" width="30.625" style="8" bestFit="1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3.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s_user 用户管理表</v>
      </c>
    </row>
    <row r="3" spans="1:11" ht="18" x14ac:dyDescent="0.3">
      <c r="A3" s="9"/>
      <c r="B3" s="12" t="s">
        <v>10</v>
      </c>
      <c r="C3" s="49" t="s">
        <v>65</v>
      </c>
      <c r="D3" s="50"/>
      <c r="E3" s="13" t="s">
        <v>11</v>
      </c>
      <c r="F3" s="51">
        <v>44326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119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"public"."s_user";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"public"."s_user"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58</v>
      </c>
      <c r="D11" s="4" t="s">
        <v>66</v>
      </c>
      <c r="E11" s="5" t="s">
        <v>132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"public"."s_user"."id" IS '用户ID';</v>
      </c>
    </row>
    <row r="12" spans="1:11" ht="17.25" x14ac:dyDescent="0.3">
      <c r="A12" s="9"/>
      <c r="B12" s="3">
        <v>2</v>
      </c>
      <c r="C12" s="16" t="s">
        <v>148</v>
      </c>
      <c r="D12" s="16" t="s">
        <v>120</v>
      </c>
      <c r="E12" s="16" t="s">
        <v>59</v>
      </c>
      <c r="F12" s="6" t="s">
        <v>22</v>
      </c>
      <c r="G12" s="25"/>
      <c r="H12" s="25"/>
      <c r="I12" s="9"/>
      <c r="J12" t="str">
        <f t="shared" ref="J12:J27" si="0">","""&amp;D12&amp;""" "&amp;E12&amp;" "&amp;IF(F12="Y","NOT NULL ","")&amp;IF(G12="","","DEFAULT "&amp;IF(G12="","NULL",G12))</f>
        <v xml:space="preserve">,"user_code" varchar(20) NOT NULL </v>
      </c>
      <c r="K12" s="1" t="str">
        <f>"COMMENT ON COLUMN ""public""."""&amp;$C$4&amp;"""."""&amp;D12&amp;""" IS '"&amp;C12&amp;H12&amp;"';"</f>
        <v>COMMENT ON COLUMN "public"."s_user"."user_code" IS '用户编码';</v>
      </c>
    </row>
    <row r="13" spans="1:11" ht="17.25" x14ac:dyDescent="0.3">
      <c r="A13" s="9"/>
      <c r="B13" s="3">
        <v>3</v>
      </c>
      <c r="C13" s="16" t="s">
        <v>71</v>
      </c>
      <c r="D13" s="16" t="s">
        <v>72</v>
      </c>
      <c r="E13" s="16" t="s">
        <v>150</v>
      </c>
      <c r="F13" s="6" t="s">
        <v>22</v>
      </c>
      <c r="G13" s="16"/>
      <c r="H13" s="16"/>
      <c r="I13" s="9"/>
      <c r="J13" t="str">
        <f t="shared" si="0"/>
        <v xml:space="preserve">,"user_name" varchar(50) NOT NULL </v>
      </c>
      <c r="K13" s="1" t="str">
        <f t="shared" ref="K13:K27" si="1">"COMMENT ON COLUMN ""public""."""&amp;$C$4&amp;"""."""&amp;D13&amp;""" IS '"&amp;C13&amp;H13&amp;"';"</f>
        <v>COMMENT ON COLUMN "public"."s_user"."user_name" IS '用户姓名';</v>
      </c>
    </row>
    <row r="14" spans="1:11" ht="17.25" x14ac:dyDescent="0.3">
      <c r="A14" s="9"/>
      <c r="B14" s="3">
        <v>4</v>
      </c>
      <c r="C14" s="16" t="s">
        <v>73</v>
      </c>
      <c r="D14" s="16" t="s">
        <v>74</v>
      </c>
      <c r="E14" s="16" t="s">
        <v>59</v>
      </c>
      <c r="F14" s="6" t="s">
        <v>22</v>
      </c>
      <c r="G14" s="16"/>
      <c r="H14" s="16"/>
      <c r="I14" s="9"/>
      <c r="J14" t="str">
        <f t="shared" si="0"/>
        <v xml:space="preserve">,"mobile" varchar(20) NOT NULL </v>
      </c>
      <c r="K14" s="1" t="str">
        <f t="shared" si="1"/>
        <v>COMMENT ON COLUMN "public"."s_user"."mobile" IS '手机号码';</v>
      </c>
    </row>
    <row r="15" spans="1:11" ht="17.25" x14ac:dyDescent="0.3">
      <c r="A15" s="9"/>
      <c r="B15" s="3">
        <v>5</v>
      </c>
      <c r="C15" s="16" t="s">
        <v>75</v>
      </c>
      <c r="D15" s="16" t="s">
        <v>76</v>
      </c>
      <c r="E15" s="16" t="s">
        <v>150</v>
      </c>
      <c r="F15" s="6" t="s">
        <v>22</v>
      </c>
      <c r="G15" s="16"/>
      <c r="H15" s="16"/>
      <c r="I15" s="9"/>
      <c r="J15" t="str">
        <f t="shared" si="0"/>
        <v xml:space="preserve">,"email" varchar(50) NOT NULL </v>
      </c>
      <c r="K15" s="1" t="str">
        <f t="shared" si="1"/>
        <v>COMMENT ON COLUMN "public"."s_user"."email" IS '电子邮箱';</v>
      </c>
    </row>
    <row r="16" spans="1:11" ht="17.25" x14ac:dyDescent="0.3">
      <c r="A16" s="9"/>
      <c r="B16" s="3">
        <v>6</v>
      </c>
      <c r="C16" s="16" t="s">
        <v>121</v>
      </c>
      <c r="D16" s="16" t="s">
        <v>122</v>
      </c>
      <c r="E16" s="7" t="s">
        <v>123</v>
      </c>
      <c r="F16" s="6" t="s">
        <v>22</v>
      </c>
      <c r="G16" s="16"/>
      <c r="H16" s="16"/>
      <c r="I16" s="9"/>
      <c r="J16" t="str">
        <f t="shared" si="0"/>
        <v xml:space="preserve">,"user_password" varchar(255) NOT NULL </v>
      </c>
      <c r="K16" s="1" t="str">
        <f t="shared" si="1"/>
        <v>COMMENT ON COLUMN "public"."s_user"."user_password" IS '登录密码';</v>
      </c>
    </row>
    <row r="17" spans="1:11" ht="17.25" x14ac:dyDescent="0.3">
      <c r="A17" s="9"/>
      <c r="B17" s="3">
        <v>7</v>
      </c>
      <c r="C17" s="16" t="s">
        <v>235</v>
      </c>
      <c r="D17" s="4" t="s">
        <v>234</v>
      </c>
      <c r="E17" s="16" t="s">
        <v>59</v>
      </c>
      <c r="F17" s="6" t="s">
        <v>22</v>
      </c>
      <c r="G17" s="24"/>
      <c r="H17" s="4"/>
      <c r="I17" s="9"/>
      <c r="J17" t="str">
        <f t="shared" si="0"/>
        <v xml:space="preserve">,"user_role" varchar(20) NOT NULL </v>
      </c>
      <c r="K17" s="1" t="str">
        <f t="shared" si="1"/>
        <v>COMMENT ON COLUMN "public"."s_user"."user_role" IS '所属角色';</v>
      </c>
    </row>
    <row r="18" spans="1:11" ht="17.25" x14ac:dyDescent="0.3">
      <c r="A18" s="9"/>
      <c r="B18" s="3">
        <v>8</v>
      </c>
      <c r="C18" s="16" t="s">
        <v>153</v>
      </c>
      <c r="D18" s="4" t="s">
        <v>236</v>
      </c>
      <c r="E18" s="5" t="s">
        <v>133</v>
      </c>
      <c r="F18" s="6" t="s">
        <v>22</v>
      </c>
      <c r="G18" s="24"/>
      <c r="H18" s="4"/>
      <c r="I18" s="9"/>
      <c r="J18" t="str">
        <f t="shared" si="0"/>
        <v xml:space="preserve">,"customer_id" int8 NOT NULL </v>
      </c>
      <c r="K18" s="1" t="str">
        <f t="shared" si="1"/>
        <v>COMMENT ON COLUMN "public"."s_user"."customer_id" IS '所属园区';</v>
      </c>
    </row>
    <row r="19" spans="1:11" ht="17.25" x14ac:dyDescent="0.3">
      <c r="A19" s="9"/>
      <c r="B19" s="3">
        <v>9</v>
      </c>
      <c r="C19" s="16" t="s">
        <v>151</v>
      </c>
      <c r="D19" s="4" t="s">
        <v>125</v>
      </c>
      <c r="E19" s="7" t="s">
        <v>26</v>
      </c>
      <c r="F19" s="6" t="s">
        <v>22</v>
      </c>
      <c r="G19" s="24" t="s">
        <v>79</v>
      </c>
      <c r="H19" s="4" t="s">
        <v>152</v>
      </c>
      <c r="I19" s="9"/>
      <c r="J19" t="str">
        <f t="shared" si="0"/>
        <v>,"is_admin" varchar(1) NOT NULL DEFAULT 0</v>
      </c>
      <c r="K19" s="1" t="str">
        <f t="shared" si="1"/>
        <v>COMMENT ON COLUMN "public"."s_user"."is_admin" IS '用户类型0：普通用户 1：平台管理用户';</v>
      </c>
    </row>
    <row r="20" spans="1:11" ht="17.25" x14ac:dyDescent="0.3">
      <c r="A20" s="9"/>
      <c r="B20" s="3">
        <v>10</v>
      </c>
      <c r="C20" s="16" t="s">
        <v>262</v>
      </c>
      <c r="D20" s="4" t="s">
        <v>259</v>
      </c>
      <c r="E20" s="5" t="s">
        <v>261</v>
      </c>
      <c r="F20" s="6"/>
      <c r="G20" s="24"/>
      <c r="H20" s="4"/>
      <c r="I20" s="9"/>
      <c r="J20" t="str">
        <f t="shared" si="0"/>
        <v xml:space="preserve">,"login_failed_num" int2 </v>
      </c>
      <c r="K20" s="1" t="str">
        <f t="shared" si="1"/>
        <v>COMMENT ON COLUMN "public"."s_user"."login_failed_num" IS '登录错误回数';</v>
      </c>
    </row>
    <row r="21" spans="1:11" ht="17.25" x14ac:dyDescent="0.3">
      <c r="A21" s="9"/>
      <c r="B21" s="3">
        <v>11</v>
      </c>
      <c r="C21" s="16" t="s">
        <v>263</v>
      </c>
      <c r="D21" s="4" t="s">
        <v>260</v>
      </c>
      <c r="E21" s="16" t="s">
        <v>134</v>
      </c>
      <c r="F21" s="6"/>
      <c r="G21" s="24"/>
      <c r="H21" s="4"/>
      <c r="I21" s="9"/>
      <c r="J21" t="str">
        <f t="shared" si="0"/>
        <v xml:space="preserve">,"login_failed_time" timestamp </v>
      </c>
      <c r="K21" s="1" t="str">
        <f t="shared" si="1"/>
        <v>COMMENT ON COLUMN "public"."s_user"."login_failed_time" IS '登录错误时间';</v>
      </c>
    </row>
    <row r="22" spans="1:11" ht="17.25" x14ac:dyDescent="0.3">
      <c r="A22" s="9"/>
      <c r="B22" s="3">
        <v>12</v>
      </c>
      <c r="C22" s="16" t="s">
        <v>77</v>
      </c>
      <c r="D22" s="4" t="s">
        <v>78</v>
      </c>
      <c r="E22" s="7" t="s">
        <v>26</v>
      </c>
      <c r="F22" s="6" t="s">
        <v>22</v>
      </c>
      <c r="G22" s="24" t="s">
        <v>37</v>
      </c>
      <c r="H22" s="4" t="s">
        <v>154</v>
      </c>
      <c r="I22" s="9"/>
      <c r="J22" t="str">
        <f t="shared" si="0"/>
        <v>,"status" varchar(1) NOT NULL DEFAULT 1</v>
      </c>
      <c r="K22" s="1" t="str">
        <f t="shared" si="1"/>
        <v>COMMENT ON COLUMN "public"."s_user"."status" IS '状态0：停用 1：可用';</v>
      </c>
    </row>
    <row r="23" spans="1:11" customFormat="1" ht="17.25" x14ac:dyDescent="0.3">
      <c r="B23" s="3">
        <v>13</v>
      </c>
      <c r="C23" s="16" t="s">
        <v>89</v>
      </c>
      <c r="D23" s="4" t="s">
        <v>90</v>
      </c>
      <c r="E23" s="7" t="s">
        <v>26</v>
      </c>
      <c r="F23" s="6" t="s">
        <v>22</v>
      </c>
      <c r="G23" s="24" t="s">
        <v>79</v>
      </c>
      <c r="H23" s="4" t="s">
        <v>91</v>
      </c>
      <c r="J23" t="str">
        <f t="shared" si="0"/>
        <v>,"is_delete" varchar(1) NOT NULL DEFAULT 0</v>
      </c>
      <c r="K23" s="1" t="str">
        <f t="shared" si="1"/>
        <v>COMMENT ON COLUMN "public"."s_user"."is_delete" IS '删除标识0:否  1:是';</v>
      </c>
    </row>
    <row r="24" spans="1:11" ht="17.25" x14ac:dyDescent="0.3">
      <c r="A24" s="9"/>
      <c r="B24" s="3">
        <v>14</v>
      </c>
      <c r="C24" s="16" t="s">
        <v>27</v>
      </c>
      <c r="D24" s="16" t="s">
        <v>30</v>
      </c>
      <c r="E24" s="16" t="s">
        <v>134</v>
      </c>
      <c r="F24" s="6" t="s">
        <v>22</v>
      </c>
      <c r="G24" s="24"/>
      <c r="H24" s="4"/>
      <c r="I24" s="9"/>
      <c r="J24" t="str">
        <f t="shared" si="0"/>
        <v xml:space="preserve">,"create_date" timestamp NOT NULL </v>
      </c>
      <c r="K24" s="1" t="str">
        <f t="shared" si="1"/>
        <v>COMMENT ON COLUMN "public"."s_user"."create_date" IS '创建时间';</v>
      </c>
    </row>
    <row r="25" spans="1:11" ht="17.25" x14ac:dyDescent="0.3">
      <c r="A25" s="9"/>
      <c r="B25" s="3">
        <v>15</v>
      </c>
      <c r="C25" s="16" t="s">
        <v>8</v>
      </c>
      <c r="D25" s="16" t="s">
        <v>32</v>
      </c>
      <c r="E25" s="5" t="s">
        <v>132</v>
      </c>
      <c r="F25" s="6" t="s">
        <v>22</v>
      </c>
      <c r="G25" s="24"/>
      <c r="H25" s="4"/>
      <c r="I25" s="9"/>
      <c r="J25" t="str">
        <f t="shared" si="0"/>
        <v xml:space="preserve">,"create_by" int8 NOT NULL </v>
      </c>
      <c r="K25" s="1" t="str">
        <f t="shared" si="1"/>
        <v>COMMENT ON COLUMN "public"."s_user"."create_by" IS '创建者';</v>
      </c>
    </row>
    <row r="26" spans="1:11" ht="17.25" x14ac:dyDescent="0.3">
      <c r="A26" s="9"/>
      <c r="B26" s="3">
        <v>16</v>
      </c>
      <c r="C26" s="16" t="s">
        <v>28</v>
      </c>
      <c r="D26" s="16" t="s">
        <v>31</v>
      </c>
      <c r="E26" s="16" t="s">
        <v>134</v>
      </c>
      <c r="F26" s="6" t="s">
        <v>22</v>
      </c>
      <c r="G26" s="24"/>
      <c r="H26" s="4"/>
      <c r="I26" s="9"/>
      <c r="J26" t="str">
        <f t="shared" si="0"/>
        <v xml:space="preserve">,"update_date" timestamp NOT NULL </v>
      </c>
      <c r="K26" s="1" t="str">
        <f t="shared" si="1"/>
        <v>COMMENT ON COLUMN "public"."s_user"."update_date" IS '更新时间';</v>
      </c>
    </row>
    <row r="27" spans="1:11" ht="17.25" x14ac:dyDescent="0.3">
      <c r="B27" s="3">
        <v>17</v>
      </c>
      <c r="C27" s="16" t="s">
        <v>29</v>
      </c>
      <c r="D27" s="16" t="s">
        <v>33</v>
      </c>
      <c r="E27" s="5" t="s">
        <v>133</v>
      </c>
      <c r="F27" s="6" t="s">
        <v>22</v>
      </c>
      <c r="G27" s="24"/>
      <c r="H27" s="4"/>
      <c r="J27" t="str">
        <f t="shared" si="0"/>
        <v xml:space="preserve">,"update_by" int8 NOT NULL </v>
      </c>
      <c r="K27" s="1" t="str">
        <f t="shared" si="1"/>
        <v>COMMENT ON COLUMN "public"."s_user"."update_by" IS '更新者';</v>
      </c>
    </row>
    <row r="28" spans="1:11" ht="17.25" x14ac:dyDescent="0.3">
      <c r="J28" s="1" t="s">
        <v>251</v>
      </c>
      <c r="K28" s="32" t="s">
        <v>253</v>
      </c>
    </row>
    <row r="29" spans="1:11" ht="17.25" x14ac:dyDescent="0.3">
      <c r="K29" s="1" t="str">
        <f>"-- Primary Key structure for table "&amp;$C$4</f>
        <v>-- Primary Key structure for table s_user</v>
      </c>
    </row>
    <row r="30" spans="1:11" ht="17.25" x14ac:dyDescent="0.3">
      <c r="K30" s="32" t="s">
        <v>253</v>
      </c>
    </row>
    <row r="31" spans="1:11" x14ac:dyDescent="0.15">
      <c r="K31" t="str">
        <f>"ALTER TABLE ""public""."""&amp;$C$4&amp;""" ADD CONSTRAINT """&amp;$C$4&amp;"_pkey"" PRIMARY KEY (""id"");"</f>
        <v>ALTER TABLE "public"."s_user" ADD CONSTRAINT "s_user_pkey" PRIMARY KEY ("id");</v>
      </c>
    </row>
    <row r="32" spans="1:11" x14ac:dyDescent="0.15">
      <c r="K32" t="str">
        <f>"DROP sequence IF EXISTS  ""public""."""&amp;$C$4&amp;"_seq"";"</f>
        <v>DROP sequence IF EXISTS  "public"."s_user_seq";</v>
      </c>
    </row>
    <row r="33" spans="11:11" x14ac:dyDescent="0.15">
      <c r="K33" s="26" t="str">
        <f>"create sequence "&amp;$C$4&amp;"_seq start with 1;"</f>
        <v>create sequence s_user_seq start with 1;</v>
      </c>
    </row>
    <row r="34" spans="11:11" x14ac:dyDescent="0.15">
      <c r="K34" s="26" t="str">
        <f>"alter table public."&amp;$C$4&amp;" alter column id set default nextval('"&amp;$C$4&amp;"_seq' ::regclass);"</f>
        <v>alter table public.s_user alter column id set default nextval('s_user_seq'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K22" sqref="K22"/>
    </sheetView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21.75" style="8" bestFit="1" customWidth="1"/>
    <col min="5" max="5" width="16.375" style="8" customWidth="1"/>
    <col min="6" max="6" width="9.75" style="8" customWidth="1"/>
    <col min="7" max="7" width="7.75" style="8" customWidth="1"/>
    <col min="8" max="8" width="30.625" style="8" bestFit="1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3.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s_user_menu 人员菜单权限关系表</v>
      </c>
    </row>
    <row r="3" spans="1:11" ht="18" x14ac:dyDescent="0.3">
      <c r="A3" s="9"/>
      <c r="B3" s="12" t="s">
        <v>10</v>
      </c>
      <c r="C3" s="49" t="s">
        <v>183</v>
      </c>
      <c r="D3" s="50"/>
      <c r="E3" s="13" t="s">
        <v>11</v>
      </c>
      <c r="F3" s="51">
        <v>44326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182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"public"."s_user_menu";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"public"."s_user_menu"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24</v>
      </c>
      <c r="D11" s="4" t="s">
        <v>66</v>
      </c>
      <c r="E11" s="5" t="s">
        <v>132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"public"."s_user_menu"."id" IS 'ID';</v>
      </c>
    </row>
    <row r="12" spans="1:11" ht="17.25" x14ac:dyDescent="0.3">
      <c r="A12" s="9"/>
      <c r="B12" s="3">
        <v>2</v>
      </c>
      <c r="C12" s="16" t="s">
        <v>173</v>
      </c>
      <c r="D12" s="16" t="s">
        <v>174</v>
      </c>
      <c r="E12" s="5" t="s">
        <v>132</v>
      </c>
      <c r="F12" s="6" t="s">
        <v>22</v>
      </c>
      <c r="G12" s="25"/>
      <c r="H12" s="25"/>
      <c r="I12" s="9"/>
      <c r="J12" t="str">
        <f>","""&amp;D12&amp;""" "&amp;E12&amp;" "&amp;IF(F12="Y","NOT NULL ","")&amp;IF(G12="","","DEFAULT "&amp;IF(G12="","NULL",G12))</f>
        <v xml:space="preserve">,"user_id" int8 NOT NULL </v>
      </c>
      <c r="K12" s="1" t="str">
        <f>"COMMENT ON COLUMN ""public""."""&amp;$C$4&amp;"""."""&amp;D12&amp;""" IS '"&amp;C12&amp;H12&amp;"';"</f>
        <v>COMMENT ON COLUMN "public"."s_user_menu"."user_id" IS '用户ID';</v>
      </c>
    </row>
    <row r="13" spans="1:11" ht="17.25" x14ac:dyDescent="0.3">
      <c r="A13" s="9"/>
      <c r="B13" s="3">
        <v>3</v>
      </c>
      <c r="C13" s="16" t="s">
        <v>176</v>
      </c>
      <c r="D13" s="16" t="s">
        <v>175</v>
      </c>
      <c r="E13" s="5" t="s">
        <v>132</v>
      </c>
      <c r="F13" s="6" t="s">
        <v>22</v>
      </c>
      <c r="G13" s="16"/>
      <c r="H13" s="16"/>
      <c r="I13" s="9"/>
      <c r="J13" t="str">
        <f>","""&amp;D13&amp;""" "&amp;E13&amp;" "&amp;IF(F13="Y","NOT NULL ","")&amp;IF(G13="","","DEFAULT "&amp;IF(G13="","NULL",G13))</f>
        <v xml:space="preserve">,"menu_id" int8 NOT NULL </v>
      </c>
      <c r="K13" s="1" t="str">
        <f t="shared" ref="K13:K15" si="0">"COMMENT ON COLUMN ""public""."""&amp;$C$4&amp;"""."""&amp;D13&amp;""" IS '"&amp;C13&amp;H13&amp;"';"</f>
        <v>COMMENT ON COLUMN "public"."s_user_menu"."menu_id" IS '菜单ID';</v>
      </c>
    </row>
    <row r="14" spans="1:11" ht="17.25" x14ac:dyDescent="0.3">
      <c r="A14" s="9"/>
      <c r="B14" s="3">
        <v>4</v>
      </c>
      <c r="C14" s="16" t="s">
        <v>177</v>
      </c>
      <c r="D14" s="16" t="s">
        <v>180</v>
      </c>
      <c r="E14" s="7" t="s">
        <v>26</v>
      </c>
      <c r="F14" s="6" t="s">
        <v>22</v>
      </c>
      <c r="G14" s="24" t="s">
        <v>79</v>
      </c>
      <c r="H14" s="4" t="s">
        <v>172</v>
      </c>
      <c r="I14" s="9"/>
      <c r="J14" t="str">
        <f>","""&amp;D14&amp;""" "&amp;E14&amp;" "&amp;IF(F14="Y","NOT NULL ","")&amp;IF(G14="","","DEFAULT "&amp;IF(G14="","NULL",G14))</f>
        <v>,"browse_permissions" varchar(1) NOT NULL DEFAULT 0</v>
      </c>
      <c r="K14" s="1" t="str">
        <f t="shared" si="0"/>
        <v>COMMENT ON COLUMN "public"."s_user_menu"."browse_permissions" IS '浏览权限0:  否  1:是';</v>
      </c>
    </row>
    <row r="15" spans="1:11" ht="17.25" x14ac:dyDescent="0.3">
      <c r="A15" s="9"/>
      <c r="B15" s="3">
        <v>5</v>
      </c>
      <c r="C15" s="16" t="s">
        <v>178</v>
      </c>
      <c r="D15" s="16" t="s">
        <v>179</v>
      </c>
      <c r="E15" s="7" t="s">
        <v>26</v>
      </c>
      <c r="F15" s="6" t="s">
        <v>22</v>
      </c>
      <c r="G15" s="24" t="s">
        <v>79</v>
      </c>
      <c r="H15" s="4" t="s">
        <v>172</v>
      </c>
      <c r="I15" s="9"/>
      <c r="J15" t="str">
        <f>","""&amp;D15&amp;""" "&amp;E15&amp;" "&amp;IF(F15="Y","NOT NULL ","")&amp;IF(G15="","","DEFAULT "&amp;IF(G15="","NULL",G15))</f>
        <v>,"edit_permissions" varchar(1) NOT NULL DEFAULT 0</v>
      </c>
      <c r="K15" s="1" t="str">
        <f t="shared" si="0"/>
        <v>COMMENT ON COLUMN "public"."s_user_menu"."edit_permissions" IS '编辑权限0:  否  1:是';</v>
      </c>
    </row>
    <row r="16" spans="1:11" ht="17.25" x14ac:dyDescent="0.3">
      <c r="J16" s="1" t="s">
        <v>251</v>
      </c>
      <c r="K16" s="32" t="s">
        <v>253</v>
      </c>
    </row>
    <row r="17" spans="11:11" ht="17.25" x14ac:dyDescent="0.3">
      <c r="K17" s="1" t="str">
        <f>"-- Primary Key structure for table "&amp;$C$4</f>
        <v>-- Primary Key structure for table s_user_menu</v>
      </c>
    </row>
    <row r="18" spans="11:11" ht="17.25" x14ac:dyDescent="0.3">
      <c r="K18" s="32" t="s">
        <v>253</v>
      </c>
    </row>
    <row r="19" spans="11:11" x14ac:dyDescent="0.15">
      <c r="K19" t="str">
        <f>"ALTER TABLE ""public""."""&amp;$C$4&amp;""" ADD CONSTRAINT """&amp;$C$4&amp;"_pkey"" PRIMARY KEY (""id"");"</f>
        <v>ALTER TABLE "public"."s_user_menu" ADD CONSTRAINT "s_user_menu_pkey" PRIMARY KEY ("id");</v>
      </c>
    </row>
    <row r="20" spans="11:11" x14ac:dyDescent="0.15">
      <c r="K20" t="str">
        <f>"DROP sequence IF EXISTS  ""public""."""&amp;$C$4&amp;"_seq"";"</f>
        <v>DROP sequence IF EXISTS  "public"."s_user_menu_seq";</v>
      </c>
    </row>
    <row r="21" spans="11:11" x14ac:dyDescent="0.15">
      <c r="K21" s="26" t="str">
        <f>"create sequence "&amp;$C$4&amp;"_seq start with 1;"</f>
        <v>create sequence s_user_menu_seq start with 1;</v>
      </c>
    </row>
    <row r="22" spans="11:11" x14ac:dyDescent="0.15">
      <c r="K22" s="26" t="str">
        <f>"alter table public."&amp;$C$4&amp;" alter column id set default nextval('"&amp;$C$4&amp;"_seq' ::regclass);"</f>
        <v>alter table public.s_user_menu alter column id set default nextval('s_user_menu_seq'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K28"/>
  <sheetViews>
    <sheetView workbookViewId="0"/>
  </sheetViews>
  <sheetFormatPr defaultRowHeight="13.5" x14ac:dyDescent="0.15"/>
  <cols>
    <col min="1" max="1" width="2.875" customWidth="1"/>
    <col min="3" max="3" width="13.5" customWidth="1"/>
    <col min="4" max="4" width="22.25" bestFit="1" customWidth="1"/>
    <col min="5" max="5" width="17" customWidth="1"/>
    <col min="8" max="8" width="13.875" customWidth="1"/>
    <col min="10" max="10" width="30.5" customWidth="1"/>
    <col min="11" max="11" width="27.25" customWidth="1"/>
  </cols>
  <sheetData>
    <row r="1" spans="2:11" ht="18" thickBot="1" x14ac:dyDescent="0.35">
      <c r="J1" s="32" t="s">
        <v>253</v>
      </c>
    </row>
    <row r="2" spans="2:11" ht="18" x14ac:dyDescent="0.3"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J2" s="1" t="str">
        <f>"-- Table structure for  "&amp;$C$4&amp;" "&amp;$C$3</f>
        <v>-- Table structure for  s_operation_unit 运维单位信息管理表</v>
      </c>
    </row>
    <row r="3" spans="2:11" ht="18" x14ac:dyDescent="0.3">
      <c r="B3" s="12" t="s">
        <v>10</v>
      </c>
      <c r="C3" s="49" t="s">
        <v>94</v>
      </c>
      <c r="D3" s="50"/>
      <c r="E3" s="13" t="s">
        <v>11</v>
      </c>
      <c r="F3" s="51">
        <v>44326</v>
      </c>
      <c r="G3" s="52"/>
      <c r="H3" s="9"/>
      <c r="J3" s="32" t="s">
        <v>253</v>
      </c>
    </row>
    <row r="4" spans="2:11" ht="18" x14ac:dyDescent="0.3">
      <c r="B4" s="12" t="s">
        <v>12</v>
      </c>
      <c r="C4" s="49" t="s">
        <v>264</v>
      </c>
      <c r="D4" s="50"/>
      <c r="E4" s="13" t="s">
        <v>13</v>
      </c>
      <c r="F4" s="49"/>
      <c r="G4" s="52"/>
      <c r="H4" s="9"/>
      <c r="J4" s="1" t="str">
        <f>"DROP TABLE IF EXISTS  ""public""."""&amp;$C$4&amp;""";"</f>
        <v>DROP TABLE IF EXISTS  "public"."s_operation_unit";</v>
      </c>
    </row>
    <row r="5" spans="2:11" ht="17.25" x14ac:dyDescent="0.3">
      <c r="B5" s="36" t="s">
        <v>14</v>
      </c>
      <c r="C5" s="37"/>
      <c r="D5" s="37"/>
      <c r="E5" s="37"/>
      <c r="F5" s="37"/>
      <c r="G5" s="38"/>
      <c r="H5" s="9"/>
      <c r="J5" s="1" t="str">
        <f>"CREATE TABLE ""public""."""&amp;$C$4&amp;"""  ("</f>
        <v>CREATE TABLE "public"."s_operation_unit"  (</v>
      </c>
    </row>
    <row r="6" spans="2:11" ht="17.25" x14ac:dyDescent="0.3">
      <c r="B6" s="39" t="s">
        <v>15</v>
      </c>
      <c r="C6" s="40"/>
      <c r="D6" s="40"/>
      <c r="E6" s="40"/>
      <c r="F6" s="40"/>
      <c r="G6" s="41"/>
      <c r="H6" s="9"/>
    </row>
    <row r="7" spans="2:11" ht="17.25" x14ac:dyDescent="0.3">
      <c r="B7" s="42"/>
      <c r="C7" s="40"/>
      <c r="D7" s="40"/>
      <c r="E7" s="40"/>
      <c r="F7" s="40"/>
      <c r="G7" s="41"/>
      <c r="H7" s="9"/>
    </row>
    <row r="8" spans="2:11" ht="18" thickBot="1" x14ac:dyDescent="0.35">
      <c r="B8" s="43"/>
      <c r="C8" s="44"/>
      <c r="D8" s="44"/>
      <c r="E8" s="44"/>
      <c r="F8" s="44"/>
      <c r="G8" s="45"/>
      <c r="H8" s="9"/>
    </row>
    <row r="9" spans="2:11" ht="17.25" x14ac:dyDescent="0.3">
      <c r="B9" s="9"/>
      <c r="C9" s="9"/>
      <c r="D9" s="9"/>
      <c r="E9" s="9"/>
      <c r="F9" s="9"/>
      <c r="G9" s="9"/>
      <c r="H9" s="9"/>
    </row>
    <row r="10" spans="2:11" ht="18" x14ac:dyDescent="0.15"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</row>
    <row r="11" spans="2:11" ht="17.25" x14ac:dyDescent="0.3">
      <c r="B11" s="3">
        <v>1</v>
      </c>
      <c r="C11" s="4" t="s">
        <v>156</v>
      </c>
      <c r="D11" s="4" t="s">
        <v>66</v>
      </c>
      <c r="E11" s="5" t="s">
        <v>131</v>
      </c>
      <c r="F11" s="6" t="s">
        <v>22</v>
      </c>
      <c r="G11" s="24" t="s">
        <v>23</v>
      </c>
      <c r="H11" s="24" t="s">
        <v>23</v>
      </c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"public"."s_operation_unit"."id" IS '运维单位ID';</v>
      </c>
    </row>
    <row r="12" spans="2:11" ht="17.25" x14ac:dyDescent="0.3">
      <c r="B12" s="3">
        <v>2</v>
      </c>
      <c r="C12" s="16" t="s">
        <v>96</v>
      </c>
      <c r="D12" s="16" t="s">
        <v>98</v>
      </c>
      <c r="E12" s="16" t="s">
        <v>150</v>
      </c>
      <c r="F12" s="6" t="s">
        <v>22</v>
      </c>
      <c r="G12" s="25"/>
      <c r="H12" s="25"/>
      <c r="J12" t="str">
        <f t="shared" ref="J12:J21" si="0">","""&amp;D12&amp;""" "&amp;E12&amp;" "&amp;IF(F12="Y","NOT NULL ","")&amp;IF(G12="","","DEFAULT "&amp;IF(G12="","NULL",G12))</f>
        <v xml:space="preserve">,"unit_name" varchar(50) NOT NULL </v>
      </c>
      <c r="K12" s="1" t="str">
        <f>"COMMENT ON COLUMN ""public""."""&amp;$C$4&amp;"""."""&amp;D12&amp;""" IS '"&amp;C12&amp;H12&amp;"';"</f>
        <v>COMMENT ON COLUMN "public"."s_operation_unit"."unit_name" IS '运维单位名称';</v>
      </c>
    </row>
    <row r="13" spans="2:11" ht="17.25" x14ac:dyDescent="0.3">
      <c r="B13" s="3">
        <v>3</v>
      </c>
      <c r="C13" s="16" t="s">
        <v>97</v>
      </c>
      <c r="D13" s="16" t="s">
        <v>99</v>
      </c>
      <c r="E13" s="16" t="s">
        <v>59</v>
      </c>
      <c r="F13" s="6" t="s">
        <v>22</v>
      </c>
      <c r="G13" s="16"/>
      <c r="H13" s="16"/>
      <c r="J13" t="str">
        <f t="shared" si="0"/>
        <v xml:space="preserve">,"unit_code" varchar(20) NOT NULL </v>
      </c>
      <c r="K13" s="1" t="str">
        <f t="shared" ref="K13:K21" si="1">"COMMENT ON COLUMN ""public""."""&amp;$C$4&amp;"""."""&amp;D13&amp;""" IS '"&amp;C13&amp;H13&amp;"';"</f>
        <v>COMMENT ON COLUMN "public"."s_operation_unit"."unit_code" IS '运维单位编号';</v>
      </c>
    </row>
    <row r="14" spans="2:11" ht="17.25" x14ac:dyDescent="0.3">
      <c r="B14" s="3">
        <v>4</v>
      </c>
      <c r="C14" s="16" t="s">
        <v>81</v>
      </c>
      <c r="D14" s="16" t="s">
        <v>139</v>
      </c>
      <c r="E14" s="16" t="s">
        <v>150</v>
      </c>
      <c r="F14" s="6" t="s">
        <v>22</v>
      </c>
      <c r="G14" s="16"/>
      <c r="H14" s="16"/>
      <c r="J14" t="str">
        <f t="shared" si="0"/>
        <v xml:space="preserve">,"contact_user_name" varchar(50) NOT NULL </v>
      </c>
      <c r="K14" s="1" t="str">
        <f t="shared" si="1"/>
        <v>COMMENT ON COLUMN "public"."s_operation_unit"."contact_user_name" IS '联系人';</v>
      </c>
    </row>
    <row r="15" spans="2:11" ht="17.25" x14ac:dyDescent="0.3">
      <c r="B15" s="3">
        <v>5</v>
      </c>
      <c r="C15" s="16" t="s">
        <v>73</v>
      </c>
      <c r="D15" s="16" t="s">
        <v>140</v>
      </c>
      <c r="E15" s="16" t="s">
        <v>59</v>
      </c>
      <c r="F15" s="6" t="s">
        <v>22</v>
      </c>
      <c r="G15" s="16"/>
      <c r="H15" s="16"/>
      <c r="J15" t="str">
        <f t="shared" si="0"/>
        <v xml:space="preserve">,"contact_user_mobile" varchar(20) NOT NULL </v>
      </c>
      <c r="K15" s="1" t="str">
        <f t="shared" si="1"/>
        <v>COMMENT ON COLUMN "public"."s_operation_unit"."contact_user_mobile" IS '手机号码';</v>
      </c>
    </row>
    <row r="16" spans="2:11" ht="17.25" x14ac:dyDescent="0.3">
      <c r="B16" s="3">
        <v>6</v>
      </c>
      <c r="C16" s="16" t="s">
        <v>75</v>
      </c>
      <c r="D16" s="16" t="s">
        <v>141</v>
      </c>
      <c r="E16" s="16" t="s">
        <v>150</v>
      </c>
      <c r="F16" s="6" t="s">
        <v>22</v>
      </c>
      <c r="G16" s="16"/>
      <c r="H16" s="16"/>
      <c r="J16" t="str">
        <f t="shared" si="0"/>
        <v xml:space="preserve">,"contact_user_email" varchar(50) NOT NULL </v>
      </c>
      <c r="K16" s="1" t="str">
        <f t="shared" si="1"/>
        <v>COMMENT ON COLUMN "public"."s_operation_unit"."contact_user_email" IS '电子邮箱';</v>
      </c>
    </row>
    <row r="17" spans="2:11" ht="17.25" x14ac:dyDescent="0.3">
      <c r="B17" s="3">
        <v>7</v>
      </c>
      <c r="C17" s="16" t="s">
        <v>89</v>
      </c>
      <c r="D17" s="4" t="s">
        <v>90</v>
      </c>
      <c r="E17" s="7" t="s">
        <v>26</v>
      </c>
      <c r="F17" s="6" t="s">
        <v>22</v>
      </c>
      <c r="G17" s="24" t="s">
        <v>79</v>
      </c>
      <c r="H17" s="4" t="s">
        <v>91</v>
      </c>
      <c r="J17" t="str">
        <f t="shared" si="0"/>
        <v>,"is_delete" varchar(1) NOT NULL DEFAULT 0</v>
      </c>
      <c r="K17" s="1" t="str">
        <f t="shared" si="1"/>
        <v>COMMENT ON COLUMN "public"."s_operation_unit"."is_delete" IS '删除标识0:否  1:是';</v>
      </c>
    </row>
    <row r="18" spans="2:11" ht="17.25" x14ac:dyDescent="0.3">
      <c r="B18" s="3">
        <v>8</v>
      </c>
      <c r="C18" s="16" t="s">
        <v>27</v>
      </c>
      <c r="D18" s="16" t="s">
        <v>30</v>
      </c>
      <c r="E18" s="16" t="s">
        <v>134</v>
      </c>
      <c r="F18" s="6" t="s">
        <v>22</v>
      </c>
      <c r="G18" s="24"/>
      <c r="H18" s="4"/>
      <c r="J18" t="str">
        <f t="shared" si="0"/>
        <v xml:space="preserve">,"create_date" timestamp NOT NULL </v>
      </c>
      <c r="K18" s="1" t="str">
        <f t="shared" si="1"/>
        <v>COMMENT ON COLUMN "public"."s_operation_unit"."create_date" IS '创建时间';</v>
      </c>
    </row>
    <row r="19" spans="2:11" ht="17.25" x14ac:dyDescent="0.3">
      <c r="B19" s="3">
        <v>9</v>
      </c>
      <c r="C19" s="16" t="s">
        <v>8</v>
      </c>
      <c r="D19" s="16" t="s">
        <v>32</v>
      </c>
      <c r="E19" s="5" t="s">
        <v>131</v>
      </c>
      <c r="F19" s="6" t="s">
        <v>22</v>
      </c>
      <c r="G19" s="24"/>
      <c r="H19" s="4"/>
      <c r="J19" t="str">
        <f t="shared" si="0"/>
        <v xml:space="preserve">,"create_by" int8 NOT NULL </v>
      </c>
      <c r="K19" s="1" t="str">
        <f t="shared" si="1"/>
        <v>COMMENT ON COLUMN "public"."s_operation_unit"."create_by" IS '创建者';</v>
      </c>
    </row>
    <row r="20" spans="2:11" ht="17.25" x14ac:dyDescent="0.3">
      <c r="B20" s="3">
        <v>10</v>
      </c>
      <c r="C20" s="16" t="s">
        <v>28</v>
      </c>
      <c r="D20" s="16" t="s">
        <v>31</v>
      </c>
      <c r="E20" s="16" t="s">
        <v>134</v>
      </c>
      <c r="F20" s="6" t="s">
        <v>22</v>
      </c>
      <c r="G20" s="24"/>
      <c r="H20" s="4"/>
      <c r="J20" t="str">
        <f t="shared" si="0"/>
        <v xml:space="preserve">,"update_date" timestamp NOT NULL </v>
      </c>
      <c r="K20" s="1" t="str">
        <f t="shared" si="1"/>
        <v>COMMENT ON COLUMN "public"."s_operation_unit"."update_date" IS '更新时间';</v>
      </c>
    </row>
    <row r="21" spans="2:11" ht="17.25" x14ac:dyDescent="0.3">
      <c r="B21" s="3">
        <v>11</v>
      </c>
      <c r="C21" s="16" t="s">
        <v>29</v>
      </c>
      <c r="D21" s="16" t="s">
        <v>33</v>
      </c>
      <c r="E21" s="5" t="s">
        <v>131</v>
      </c>
      <c r="F21" s="6" t="s">
        <v>22</v>
      </c>
      <c r="G21" s="24"/>
      <c r="H21" s="4"/>
      <c r="J21" t="str">
        <f t="shared" si="0"/>
        <v xml:space="preserve">,"update_by" int8 NOT NULL </v>
      </c>
      <c r="K21" s="1" t="str">
        <f t="shared" si="1"/>
        <v>COMMENT ON COLUMN "public"."s_operation_unit"."update_by" IS '更新者';</v>
      </c>
    </row>
    <row r="22" spans="2:11" ht="17.25" x14ac:dyDescent="0.3">
      <c r="J22" s="1" t="s">
        <v>251</v>
      </c>
      <c r="K22" s="32" t="s">
        <v>253</v>
      </c>
    </row>
    <row r="23" spans="2:11" ht="17.25" x14ac:dyDescent="0.3">
      <c r="K23" s="1" t="str">
        <f>"-- Primary Key structure for table "&amp;$C$4</f>
        <v>-- Primary Key structure for table s_operation_unit</v>
      </c>
    </row>
    <row r="24" spans="2:11" ht="17.25" x14ac:dyDescent="0.3">
      <c r="K24" s="32" t="s">
        <v>253</v>
      </c>
    </row>
    <row r="25" spans="2:11" x14ac:dyDescent="0.15">
      <c r="K25" t="str">
        <f>"ALTER TABLE ""public""."""&amp;$C$4&amp;""" ADD CONSTRAINT """&amp;$C$4&amp;"_pkey"" PRIMARY KEY (""id"");"</f>
        <v>ALTER TABLE "public"."s_operation_unit" ADD CONSTRAINT "s_operation_unit_pkey" PRIMARY KEY ("id");</v>
      </c>
    </row>
    <row r="26" spans="2:11" x14ac:dyDescent="0.15">
      <c r="K26" t="str">
        <f>"DROP sequence IF EXISTS  ""public""."""&amp;$C$4&amp;"_seq"";"</f>
        <v>DROP sequence IF EXISTS  "public"."s_operation_unit_seq";</v>
      </c>
    </row>
    <row r="27" spans="2:11" x14ac:dyDescent="0.15">
      <c r="K27" s="26" t="str">
        <f>"create sequence "&amp;$C$4&amp;"_seq start with 1;"</f>
        <v>create sequence s_operation_unit_seq start with 1;</v>
      </c>
    </row>
    <row r="28" spans="2:11" x14ac:dyDescent="0.15">
      <c r="K28" s="26" t="str">
        <f>"alter table public."&amp;$C$4&amp;" alter column id set default nextval('"&amp;$C$4&amp;"_seq' ::regclass);"</f>
        <v>alter table public.s_operation_unit alter column id set default nextval('s_operation_unit_seq'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3"/>
  <sheetViews>
    <sheetView workbookViewId="0">
      <selection activeCell="D20" sqref="D20"/>
    </sheetView>
  </sheetViews>
  <sheetFormatPr defaultRowHeight="13.5" x14ac:dyDescent="0.15"/>
  <cols>
    <col min="1" max="1" width="1.875" customWidth="1"/>
    <col min="2" max="2" width="11.375" customWidth="1"/>
    <col min="3" max="3" width="15.125" customWidth="1"/>
    <col min="4" max="4" width="17" customWidth="1"/>
    <col min="5" max="5" width="15.125" customWidth="1"/>
    <col min="8" max="8" width="17.375" bestFit="1" customWidth="1"/>
    <col min="10" max="10" width="30.5" customWidth="1"/>
    <col min="11" max="11" width="27.25" customWidth="1"/>
  </cols>
  <sheetData>
    <row r="1" spans="1:11" ht="12" customHeight="1" thickBot="1" x14ac:dyDescent="0.35">
      <c r="J1" s="32" t="s">
        <v>253</v>
      </c>
    </row>
    <row r="2" spans="1:11" ht="18" x14ac:dyDescent="0.3"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J2" s="1" t="str">
        <f>"-- Table structure for  "&amp;$C$4&amp;" "&amp;$C$3</f>
        <v>-- Table structure for  s_operation_team 运维团队信息管理表</v>
      </c>
    </row>
    <row r="3" spans="1:11" ht="18" x14ac:dyDescent="0.3">
      <c r="B3" s="12" t="s">
        <v>10</v>
      </c>
      <c r="C3" s="49" t="s">
        <v>104</v>
      </c>
      <c r="D3" s="50"/>
      <c r="E3" s="13" t="s">
        <v>11</v>
      </c>
      <c r="F3" s="49" t="s">
        <v>116</v>
      </c>
      <c r="G3" s="52"/>
      <c r="H3" s="9"/>
      <c r="J3" s="32" t="s">
        <v>253</v>
      </c>
    </row>
    <row r="4" spans="1:11" ht="18" x14ac:dyDescent="0.3">
      <c r="B4" s="12" t="s">
        <v>12</v>
      </c>
      <c r="C4" s="49" t="s">
        <v>265</v>
      </c>
      <c r="D4" s="50"/>
      <c r="E4" s="13" t="s">
        <v>13</v>
      </c>
      <c r="F4" s="49"/>
      <c r="G4" s="52"/>
      <c r="H4" s="9"/>
      <c r="J4" s="1" t="str">
        <f>"DROP TABLE IF EXISTS  ""public""."""&amp;$C$4&amp;""";"</f>
        <v>DROP TABLE IF EXISTS  "public"."s_operation_team";</v>
      </c>
    </row>
    <row r="5" spans="1:11" ht="17.25" x14ac:dyDescent="0.3">
      <c r="B5" s="36" t="s">
        <v>14</v>
      </c>
      <c r="C5" s="37"/>
      <c r="D5" s="37"/>
      <c r="E5" s="37"/>
      <c r="F5" s="37"/>
      <c r="G5" s="38"/>
      <c r="H5" s="9"/>
      <c r="J5" s="1" t="str">
        <f>"CREATE TABLE ""public""."""&amp;$C$4&amp;"""  ("</f>
        <v>CREATE TABLE "public"."s_operation_team"  (</v>
      </c>
    </row>
    <row r="6" spans="1:11" ht="17.25" x14ac:dyDescent="0.3">
      <c r="B6" s="39" t="s">
        <v>15</v>
      </c>
      <c r="C6" s="40"/>
      <c r="D6" s="40"/>
      <c r="E6" s="40"/>
      <c r="F6" s="40"/>
      <c r="G6" s="41"/>
      <c r="H6" s="9"/>
    </row>
    <row r="7" spans="1:11" ht="17.25" x14ac:dyDescent="0.3">
      <c r="B7" s="42"/>
      <c r="C7" s="40"/>
      <c r="D7" s="40"/>
      <c r="E7" s="40"/>
      <c r="F7" s="40"/>
      <c r="G7" s="41"/>
      <c r="H7" s="9"/>
    </row>
    <row r="8" spans="1:11" ht="18" thickBot="1" x14ac:dyDescent="0.35">
      <c r="B8" s="43"/>
      <c r="C8" s="44"/>
      <c r="D8" s="44"/>
      <c r="E8" s="44"/>
      <c r="F8" s="44"/>
      <c r="G8" s="45"/>
      <c r="H8" s="9"/>
    </row>
    <row r="9" spans="1:11" ht="17.25" x14ac:dyDescent="0.3">
      <c r="B9" s="9"/>
      <c r="C9" s="9"/>
      <c r="D9" s="9"/>
      <c r="E9" s="9"/>
      <c r="F9" s="9"/>
      <c r="G9" s="9"/>
      <c r="H9" s="9"/>
    </row>
    <row r="10" spans="1:11" ht="18" x14ac:dyDescent="0.15"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</row>
    <row r="11" spans="1:11" ht="17.25" x14ac:dyDescent="0.3">
      <c r="B11" s="3">
        <v>1</v>
      </c>
      <c r="C11" s="4" t="s">
        <v>95</v>
      </c>
      <c r="D11" s="4" t="s">
        <v>66</v>
      </c>
      <c r="E11" s="5" t="s">
        <v>131</v>
      </c>
      <c r="F11" s="6" t="s">
        <v>22</v>
      </c>
      <c r="G11" s="24" t="s">
        <v>23</v>
      </c>
      <c r="H11" s="24" t="s">
        <v>23</v>
      </c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"public"."s_operation_team"."id" IS '序号';</v>
      </c>
    </row>
    <row r="12" spans="1:11" ht="17.25" x14ac:dyDescent="0.3">
      <c r="B12" s="3">
        <v>2</v>
      </c>
      <c r="C12" s="16" t="s">
        <v>100</v>
      </c>
      <c r="D12" s="16" t="s">
        <v>72</v>
      </c>
      <c r="E12" s="16" t="s">
        <v>150</v>
      </c>
      <c r="F12" s="6" t="s">
        <v>22</v>
      </c>
      <c r="G12" s="25"/>
      <c r="H12" s="25"/>
      <c r="J12" t="str">
        <f t="shared" ref="J12:J26" si="0">","""&amp;D12&amp;""" "&amp;E12&amp;" "&amp;IF(F12="Y","NOT NULL ","")&amp;IF(G12="","","DEFAULT "&amp;IF(G12="","NULL",G12))</f>
        <v xml:space="preserve">,"user_name" varchar(50) NOT NULL </v>
      </c>
      <c r="K12" s="1" t="str">
        <f>"COMMENT ON COLUMN ""public""."""&amp;$C$4&amp;"""."""&amp;D12&amp;""" IS '"&amp;C12&amp;H12&amp;"';"</f>
        <v>COMMENT ON COLUMN "public"."s_operation_team"."user_name" IS '姓名';</v>
      </c>
    </row>
    <row r="13" spans="1:11" ht="17.25" x14ac:dyDescent="0.3">
      <c r="B13" s="3">
        <v>3</v>
      </c>
      <c r="C13" s="16" t="s">
        <v>73</v>
      </c>
      <c r="D13" s="16" t="s">
        <v>74</v>
      </c>
      <c r="E13" s="16" t="s">
        <v>59</v>
      </c>
      <c r="F13" s="6" t="s">
        <v>22</v>
      </c>
      <c r="G13" s="16"/>
      <c r="H13" s="16"/>
      <c r="J13" t="str">
        <f t="shared" si="0"/>
        <v xml:space="preserve">,"mobile" varchar(20) NOT NULL </v>
      </c>
      <c r="K13" s="1" t="str">
        <f t="shared" ref="K13:K26" si="1">"COMMENT ON COLUMN ""public""."""&amp;$C$4&amp;"""."""&amp;D13&amp;""" IS '"&amp;C13&amp;H13&amp;"';"</f>
        <v>COMMENT ON COLUMN "public"."s_operation_team"."mobile" IS '手机号码';</v>
      </c>
    </row>
    <row r="14" spans="1:11" ht="17.25" x14ac:dyDescent="0.3">
      <c r="B14" s="3">
        <v>4</v>
      </c>
      <c r="C14" s="16" t="s">
        <v>101</v>
      </c>
      <c r="D14" s="16" t="s">
        <v>103</v>
      </c>
      <c r="E14" s="16" t="s">
        <v>150</v>
      </c>
      <c r="F14" s="6" t="s">
        <v>22</v>
      </c>
      <c r="G14" s="16"/>
      <c r="H14" s="16"/>
      <c r="J14" t="str">
        <f t="shared" si="0"/>
        <v xml:space="preserve">,"job" varchar(50) NOT NULL </v>
      </c>
      <c r="K14" s="1" t="str">
        <f t="shared" si="1"/>
        <v>COMMENT ON COLUMN "public"."s_operation_team"."job" IS '职务';</v>
      </c>
    </row>
    <row r="15" spans="1:11" ht="17.25" x14ac:dyDescent="0.3">
      <c r="B15" s="3">
        <v>5</v>
      </c>
      <c r="C15" s="16" t="s">
        <v>75</v>
      </c>
      <c r="D15" s="16" t="s">
        <v>76</v>
      </c>
      <c r="E15" s="16" t="s">
        <v>150</v>
      </c>
      <c r="F15" s="6" t="s">
        <v>22</v>
      </c>
      <c r="G15" s="16"/>
      <c r="H15" s="16"/>
      <c r="J15" t="str">
        <f t="shared" si="0"/>
        <v xml:space="preserve">,"email" varchar(50) NOT NULL </v>
      </c>
      <c r="K15" s="1" t="str">
        <f t="shared" si="1"/>
        <v>COMMENT ON COLUMN "public"."s_operation_team"."email" IS '电子邮箱';</v>
      </c>
    </row>
    <row r="16" spans="1:11" s="8" customFormat="1" ht="17.25" x14ac:dyDescent="0.3">
      <c r="A16" s="9"/>
      <c r="B16" s="3">
        <v>6</v>
      </c>
      <c r="C16" s="16" t="s">
        <v>121</v>
      </c>
      <c r="D16" s="16" t="s">
        <v>122</v>
      </c>
      <c r="E16" s="7" t="s">
        <v>36</v>
      </c>
      <c r="F16" s="6" t="s">
        <v>22</v>
      </c>
      <c r="G16" s="16"/>
      <c r="H16" s="16"/>
      <c r="I16" s="9"/>
      <c r="J16" t="str">
        <f t="shared" si="0"/>
        <v xml:space="preserve">,"user_password" varchar(255) NOT NULL </v>
      </c>
      <c r="K16" s="1" t="str">
        <f>"COMMENT ON COLUMN ""public""."""&amp;$C$4&amp;"""."""&amp;D16&amp;""" IS '"&amp;C16&amp;H16&amp;"';"</f>
        <v>COMMENT ON COLUMN "public"."s_operation_team"."user_password" IS '登录密码';</v>
      </c>
    </row>
    <row r="17" spans="1:11" s="8" customFormat="1" ht="17.25" x14ac:dyDescent="0.3">
      <c r="A17" s="9"/>
      <c r="B17" s="3">
        <v>7</v>
      </c>
      <c r="C17" s="16" t="s">
        <v>262</v>
      </c>
      <c r="D17" s="4" t="s">
        <v>259</v>
      </c>
      <c r="E17" s="5" t="s">
        <v>261</v>
      </c>
      <c r="F17" s="6"/>
      <c r="G17" s="24"/>
      <c r="H17" s="4"/>
      <c r="I17" s="9"/>
      <c r="J17" t="str">
        <f t="shared" si="0"/>
        <v xml:space="preserve">,"login_failed_num" int2 </v>
      </c>
      <c r="K17" s="1" t="str">
        <f t="shared" ref="K17:K18" si="2">"COMMENT ON COLUMN ""public""."""&amp;$C$4&amp;"""."""&amp;D17&amp;""" IS '"&amp;C17&amp;H17&amp;"';"</f>
        <v>COMMENT ON COLUMN "public"."s_operation_team"."login_failed_num" IS '登录错误回数';</v>
      </c>
    </row>
    <row r="18" spans="1:11" s="8" customFormat="1" ht="17.25" x14ac:dyDescent="0.3">
      <c r="A18" s="9"/>
      <c r="B18" s="3">
        <v>8</v>
      </c>
      <c r="C18" s="16" t="s">
        <v>263</v>
      </c>
      <c r="D18" s="4" t="s">
        <v>260</v>
      </c>
      <c r="E18" s="16" t="s">
        <v>134</v>
      </c>
      <c r="F18" s="6"/>
      <c r="G18" s="24"/>
      <c r="H18" s="4"/>
      <c r="I18" s="9"/>
      <c r="J18" t="str">
        <f t="shared" si="0"/>
        <v xml:space="preserve">,"login_failed_time" timestamp </v>
      </c>
      <c r="K18" s="1" t="str">
        <f t="shared" si="2"/>
        <v>COMMENT ON COLUMN "public"."s_operation_team"."login_failed_time" IS '登录错误时间';</v>
      </c>
    </row>
    <row r="19" spans="1:11" ht="17.25" x14ac:dyDescent="0.3">
      <c r="B19" s="3">
        <v>9</v>
      </c>
      <c r="C19" s="16" t="s">
        <v>163</v>
      </c>
      <c r="D19" s="16" t="s">
        <v>84</v>
      </c>
      <c r="E19" s="16" t="s">
        <v>131</v>
      </c>
      <c r="F19" s="6" t="s">
        <v>22</v>
      </c>
      <c r="G19" s="16"/>
      <c r="H19" s="16"/>
      <c r="J19" t="str">
        <f t="shared" si="0"/>
        <v xml:space="preserve">,"unit_id" int8 NOT NULL </v>
      </c>
      <c r="K19" s="1" t="str">
        <f t="shared" si="1"/>
        <v>COMMENT ON COLUMN "public"."s_operation_team"."unit_id" IS '所属运维单位';</v>
      </c>
    </row>
    <row r="20" spans="1:11" ht="17.25" x14ac:dyDescent="0.3">
      <c r="B20" s="3">
        <v>10</v>
      </c>
      <c r="C20" s="16" t="s">
        <v>102</v>
      </c>
      <c r="D20" s="4" t="s">
        <v>276</v>
      </c>
      <c r="E20" s="16" t="s">
        <v>131</v>
      </c>
      <c r="F20" s="6" t="s">
        <v>22</v>
      </c>
      <c r="G20" s="24"/>
      <c r="H20" s="4"/>
      <c r="J20" t="str">
        <f t="shared" si="0"/>
        <v xml:space="preserve">,"customer_id" int8 NOT NULL </v>
      </c>
      <c r="K20" s="1" t="str">
        <f t="shared" si="1"/>
        <v>COMMENT ON COLUMN "public"."s_operation_team"."customer_id" IS '运维客户';</v>
      </c>
    </row>
    <row r="21" spans="1:11" ht="17.25" x14ac:dyDescent="0.3">
      <c r="B21" s="3">
        <v>11</v>
      </c>
      <c r="C21" s="16" t="s">
        <v>77</v>
      </c>
      <c r="D21" s="4" t="s">
        <v>78</v>
      </c>
      <c r="E21" s="7" t="s">
        <v>26</v>
      </c>
      <c r="F21" s="6" t="s">
        <v>22</v>
      </c>
      <c r="G21" s="24" t="s">
        <v>37</v>
      </c>
      <c r="H21" s="4" t="s">
        <v>154</v>
      </c>
      <c r="J21" t="str">
        <f t="shared" si="0"/>
        <v>,"status" varchar(1) NOT NULL DEFAULT 1</v>
      </c>
      <c r="K21" s="1" t="str">
        <f t="shared" si="1"/>
        <v>COMMENT ON COLUMN "public"."s_operation_team"."status" IS '状态0：停用 1：可用';</v>
      </c>
    </row>
    <row r="22" spans="1:11" ht="17.25" x14ac:dyDescent="0.3">
      <c r="B22" s="3">
        <v>12</v>
      </c>
      <c r="C22" s="16" t="s">
        <v>89</v>
      </c>
      <c r="D22" s="4" t="s">
        <v>90</v>
      </c>
      <c r="E22" s="7" t="s">
        <v>26</v>
      </c>
      <c r="F22" s="6" t="s">
        <v>22</v>
      </c>
      <c r="G22" s="24" t="s">
        <v>79</v>
      </c>
      <c r="H22" s="4" t="s">
        <v>91</v>
      </c>
      <c r="J22" t="str">
        <f t="shared" si="0"/>
        <v>,"is_delete" varchar(1) NOT NULL DEFAULT 0</v>
      </c>
      <c r="K22" s="1" t="str">
        <f t="shared" si="1"/>
        <v>COMMENT ON COLUMN "public"."s_operation_team"."is_delete" IS '删除标识0:否  1:是';</v>
      </c>
    </row>
    <row r="23" spans="1:11" ht="17.25" x14ac:dyDescent="0.3">
      <c r="B23" s="3">
        <v>13</v>
      </c>
      <c r="C23" s="16" t="s">
        <v>27</v>
      </c>
      <c r="D23" s="16" t="s">
        <v>30</v>
      </c>
      <c r="E23" s="16" t="s">
        <v>134</v>
      </c>
      <c r="F23" s="6" t="s">
        <v>22</v>
      </c>
      <c r="G23" s="24"/>
      <c r="H23" s="4"/>
      <c r="J23" t="str">
        <f t="shared" si="0"/>
        <v xml:space="preserve">,"create_date" timestamp NOT NULL </v>
      </c>
      <c r="K23" s="1" t="str">
        <f t="shared" si="1"/>
        <v>COMMENT ON COLUMN "public"."s_operation_team"."create_date" IS '创建时间';</v>
      </c>
    </row>
    <row r="24" spans="1:11" ht="17.25" x14ac:dyDescent="0.3">
      <c r="B24" s="3">
        <v>14</v>
      </c>
      <c r="C24" s="16" t="s">
        <v>8</v>
      </c>
      <c r="D24" s="16" t="s">
        <v>32</v>
      </c>
      <c r="E24" s="5" t="s">
        <v>131</v>
      </c>
      <c r="F24" s="6" t="s">
        <v>22</v>
      </c>
      <c r="G24" s="24"/>
      <c r="H24" s="4"/>
      <c r="J24" t="str">
        <f t="shared" si="0"/>
        <v xml:space="preserve">,"create_by" int8 NOT NULL </v>
      </c>
      <c r="K24" s="1" t="str">
        <f t="shared" si="1"/>
        <v>COMMENT ON COLUMN "public"."s_operation_team"."create_by" IS '创建者';</v>
      </c>
    </row>
    <row r="25" spans="1:11" ht="17.25" x14ac:dyDescent="0.3">
      <c r="B25" s="3">
        <v>15</v>
      </c>
      <c r="C25" s="16" t="s">
        <v>28</v>
      </c>
      <c r="D25" s="16" t="s">
        <v>31</v>
      </c>
      <c r="E25" s="16" t="s">
        <v>134</v>
      </c>
      <c r="F25" s="6" t="s">
        <v>22</v>
      </c>
      <c r="G25" s="24"/>
      <c r="H25" s="4"/>
      <c r="J25" t="str">
        <f t="shared" si="0"/>
        <v xml:space="preserve">,"update_date" timestamp NOT NULL </v>
      </c>
      <c r="K25" s="1" t="str">
        <f t="shared" si="1"/>
        <v>COMMENT ON COLUMN "public"."s_operation_team"."update_date" IS '更新时间';</v>
      </c>
    </row>
    <row r="26" spans="1:11" ht="17.25" x14ac:dyDescent="0.3">
      <c r="B26" s="3">
        <v>16</v>
      </c>
      <c r="C26" s="16" t="s">
        <v>29</v>
      </c>
      <c r="D26" s="16" t="s">
        <v>33</v>
      </c>
      <c r="E26" s="5" t="s">
        <v>131</v>
      </c>
      <c r="F26" s="6" t="s">
        <v>22</v>
      </c>
      <c r="G26" s="24"/>
      <c r="H26" s="4"/>
      <c r="J26" t="str">
        <f t="shared" si="0"/>
        <v xml:space="preserve">,"update_by" int8 NOT NULL </v>
      </c>
      <c r="K26" s="1" t="str">
        <f t="shared" si="1"/>
        <v>COMMENT ON COLUMN "public"."s_operation_team"."update_by" IS '更新者';</v>
      </c>
    </row>
    <row r="27" spans="1:11" ht="17.25" x14ac:dyDescent="0.3">
      <c r="J27" s="1" t="s">
        <v>251</v>
      </c>
      <c r="K27" s="32" t="s">
        <v>253</v>
      </c>
    </row>
    <row r="28" spans="1:11" ht="17.25" x14ac:dyDescent="0.3">
      <c r="K28" s="1" t="str">
        <f>"-- Primary Key structure for table "&amp;$C$4</f>
        <v>-- Primary Key structure for table s_operation_team</v>
      </c>
    </row>
    <row r="29" spans="1:11" ht="17.25" x14ac:dyDescent="0.3">
      <c r="K29" s="32" t="s">
        <v>253</v>
      </c>
    </row>
    <row r="30" spans="1:11" x14ac:dyDescent="0.15">
      <c r="K30" t="str">
        <f>"ALTER TABLE ""public""."""&amp;$C$4&amp;""" ADD CONSTRAINT """&amp;$C$4&amp;"_pkey"" PRIMARY KEY (""id"");"</f>
        <v>ALTER TABLE "public"."s_operation_team" ADD CONSTRAINT "s_operation_team_pkey" PRIMARY KEY ("id");</v>
      </c>
    </row>
    <row r="31" spans="1:11" x14ac:dyDescent="0.15">
      <c r="K31" t="str">
        <f>"DROP sequence IF EXISTS  ""public""."""&amp;$C$4&amp;"_seq"";"</f>
        <v>DROP sequence IF EXISTS  "public"."s_operation_team_seq";</v>
      </c>
    </row>
    <row r="32" spans="1:11" x14ac:dyDescent="0.15">
      <c r="K32" s="26" t="str">
        <f>"create sequence "&amp;$C$4&amp;"_seq start with 1;"</f>
        <v>create sequence s_operation_team_seq start with 1;</v>
      </c>
    </row>
    <row r="33" spans="11:11" x14ac:dyDescent="0.15">
      <c r="K33" s="26" t="str">
        <f>"alter table "&amp;$C$4&amp;" alter column id set default nextval('"&amp;$C$4&amp;"_seq' ::regclass);"</f>
        <v>alter table s_operation_team alter column id set default nextval('s_operation_team_seq'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K29"/>
  <sheetViews>
    <sheetView workbookViewId="0">
      <selection activeCell="A18" sqref="A18:XFD22"/>
    </sheetView>
  </sheetViews>
  <sheetFormatPr defaultRowHeight="13.5" x14ac:dyDescent="0.15"/>
  <cols>
    <col min="1" max="1" width="3.5" customWidth="1"/>
    <col min="2" max="2" width="9.75" bestFit="1" customWidth="1"/>
    <col min="3" max="3" width="18.625" bestFit="1" customWidth="1"/>
    <col min="4" max="4" width="16.75" customWidth="1"/>
    <col min="5" max="5" width="15.5" customWidth="1"/>
    <col min="8" max="8" width="14" customWidth="1"/>
    <col min="10" max="10" width="30.5" customWidth="1"/>
    <col min="11" max="11" width="27.25" customWidth="1"/>
  </cols>
  <sheetData>
    <row r="1" spans="2:11" ht="18" thickBot="1" x14ac:dyDescent="0.35">
      <c r="J1" s="32" t="s">
        <v>253</v>
      </c>
    </row>
    <row r="2" spans="2:11" ht="18" x14ac:dyDescent="0.3"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J2" s="1" t="str">
        <f>"-- Table structure for  "&amp;$C$4&amp;" "&amp;$C$3</f>
        <v>-- Table structure for  s_advertising 登录页广告位管理表</v>
      </c>
    </row>
    <row r="3" spans="2:11" ht="18" x14ac:dyDescent="0.3">
      <c r="B3" s="12" t="s">
        <v>10</v>
      </c>
      <c r="C3" s="49" t="s">
        <v>171</v>
      </c>
      <c r="D3" s="50"/>
      <c r="E3" s="13" t="s">
        <v>11</v>
      </c>
      <c r="F3" s="51">
        <v>44326</v>
      </c>
      <c r="G3" s="52"/>
      <c r="H3" s="9"/>
      <c r="J3" s="32" t="s">
        <v>253</v>
      </c>
    </row>
    <row r="4" spans="2:11" ht="18" x14ac:dyDescent="0.3">
      <c r="B4" s="12" t="s">
        <v>12</v>
      </c>
      <c r="C4" s="49" t="s">
        <v>160</v>
      </c>
      <c r="D4" s="50"/>
      <c r="E4" s="13" t="s">
        <v>13</v>
      </c>
      <c r="F4" s="49"/>
      <c r="G4" s="52"/>
      <c r="H4" s="9"/>
      <c r="J4" s="1" t="str">
        <f>"DROP TABLE IF EXISTS  ""public""."""&amp;$C$4&amp;""";"</f>
        <v>DROP TABLE IF EXISTS  "public"."s_advertising";</v>
      </c>
    </row>
    <row r="5" spans="2:11" ht="17.25" x14ac:dyDescent="0.3">
      <c r="B5" s="36" t="s">
        <v>14</v>
      </c>
      <c r="C5" s="37"/>
      <c r="D5" s="37"/>
      <c r="E5" s="37"/>
      <c r="F5" s="37"/>
      <c r="G5" s="38"/>
      <c r="H5" s="9"/>
      <c r="J5" s="1" t="str">
        <f>"CREATE TABLE ""public""."""&amp;$C$4&amp;"""  ("</f>
        <v>CREATE TABLE "public"."s_advertising"  (</v>
      </c>
    </row>
    <row r="6" spans="2:11" ht="17.25" x14ac:dyDescent="0.3">
      <c r="B6" s="39" t="s">
        <v>15</v>
      </c>
      <c r="C6" s="40"/>
      <c r="D6" s="40"/>
      <c r="E6" s="40"/>
      <c r="F6" s="40"/>
      <c r="G6" s="41"/>
      <c r="H6" s="9"/>
    </row>
    <row r="7" spans="2:11" ht="17.25" x14ac:dyDescent="0.3">
      <c r="B7" s="42"/>
      <c r="C7" s="40"/>
      <c r="D7" s="40"/>
      <c r="E7" s="40"/>
      <c r="F7" s="40"/>
      <c r="G7" s="41"/>
      <c r="H7" s="9"/>
    </row>
    <row r="8" spans="2:11" ht="18" thickBot="1" x14ac:dyDescent="0.35">
      <c r="B8" s="43"/>
      <c r="C8" s="44"/>
      <c r="D8" s="44"/>
      <c r="E8" s="44"/>
      <c r="F8" s="44"/>
      <c r="G8" s="45"/>
      <c r="H8" s="9"/>
    </row>
    <row r="9" spans="2:11" ht="17.25" x14ac:dyDescent="0.3">
      <c r="B9" s="9"/>
      <c r="C9" s="9"/>
      <c r="D9" s="9"/>
      <c r="E9" s="9"/>
      <c r="F9" s="9"/>
      <c r="G9" s="9"/>
      <c r="H9" s="9"/>
    </row>
    <row r="10" spans="2:11" ht="18" x14ac:dyDescent="0.15"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</row>
    <row r="11" spans="2:11" ht="17.25" x14ac:dyDescent="0.3">
      <c r="B11" s="3">
        <v>1</v>
      </c>
      <c r="C11" s="4" t="s">
        <v>252</v>
      </c>
      <c r="D11" s="4" t="s">
        <v>66</v>
      </c>
      <c r="E11" s="5" t="s">
        <v>131</v>
      </c>
      <c r="F11" s="6" t="s">
        <v>22</v>
      </c>
      <c r="G11" s="24"/>
      <c r="H11" s="24" t="s">
        <v>23</v>
      </c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"public"."s_advertising"."id" IS '主键ID';</v>
      </c>
    </row>
    <row r="12" spans="2:11" ht="17.25" x14ac:dyDescent="0.3">
      <c r="B12" s="3">
        <v>2</v>
      </c>
      <c r="C12" s="16" t="s">
        <v>164</v>
      </c>
      <c r="D12" s="16" t="s">
        <v>106</v>
      </c>
      <c r="E12" s="16" t="s">
        <v>61</v>
      </c>
      <c r="F12" s="17"/>
      <c r="G12" s="16"/>
      <c r="H12" s="16"/>
      <c r="J12" t="str">
        <f t="shared" ref="J12:J22" si="0">","""&amp;D12&amp;""" "&amp;E12&amp;" "&amp;IF(F12="Y","NOT NULL ","")&amp;IF(G12="","","DEFAULT "&amp;IF(G12="","NULL",G12))</f>
        <v xml:space="preserve">,"show_time" varchar(16) </v>
      </c>
      <c r="K12" s="1" t="str">
        <f>"COMMENT ON COLUMN ""public""."""&amp;$C$4&amp;"""."""&amp;D12&amp;""" IS '"&amp;C12&amp;H12&amp;"';"</f>
        <v>COMMENT ON COLUMN "public"."s_advertising"."show_time" IS '广告轮播时间';</v>
      </c>
    </row>
    <row r="13" spans="2:11" ht="17.25" x14ac:dyDescent="0.3">
      <c r="B13" s="3">
        <v>3</v>
      </c>
      <c r="C13" s="16" t="s">
        <v>157</v>
      </c>
      <c r="D13" s="16" t="s">
        <v>105</v>
      </c>
      <c r="E13" s="16" t="s">
        <v>35</v>
      </c>
      <c r="F13" s="17"/>
      <c r="G13" s="25"/>
      <c r="H13" s="25"/>
      <c r="J13" t="str">
        <f t="shared" si="0"/>
        <v xml:space="preserve">,"picture_url" varchar(255) </v>
      </c>
      <c r="K13" s="1" t="str">
        <f t="shared" ref="K13:K22" si="1">"COMMENT ON COLUMN ""public""."""&amp;$C$4&amp;"""."""&amp;D13&amp;""" IS '"&amp;C13&amp;H13&amp;"';"</f>
        <v>COMMENT ON COLUMN "public"."s_advertising"."picture_url" IS '广告显示图片';</v>
      </c>
    </row>
    <row r="14" spans="2:11" ht="17.25" x14ac:dyDescent="0.3">
      <c r="B14" s="3">
        <v>4</v>
      </c>
      <c r="C14" s="16" t="s">
        <v>168</v>
      </c>
      <c r="D14" s="16" t="s">
        <v>169</v>
      </c>
      <c r="E14" s="16" t="s">
        <v>59</v>
      </c>
      <c r="F14" s="17"/>
      <c r="G14" s="16"/>
      <c r="H14" s="16"/>
      <c r="J14" t="str">
        <f t="shared" si="0"/>
        <v xml:space="preserve">,"position" varchar(20) </v>
      </c>
      <c r="K14" s="1" t="str">
        <f t="shared" si="1"/>
        <v>COMMENT ON COLUMN "public"."s_advertising"."position" IS '广告轮转位置';</v>
      </c>
    </row>
    <row r="15" spans="2:11" ht="17.25" x14ac:dyDescent="0.3">
      <c r="B15" s="3">
        <v>5</v>
      </c>
      <c r="C15" s="16" t="s">
        <v>158</v>
      </c>
      <c r="D15" s="16" t="s">
        <v>166</v>
      </c>
      <c r="E15" s="16" t="s">
        <v>165</v>
      </c>
      <c r="F15" s="17"/>
      <c r="G15" s="16"/>
      <c r="H15" s="16"/>
      <c r="J15" t="str">
        <f t="shared" si="0"/>
        <v xml:space="preserve">,"start_date" date </v>
      </c>
      <c r="K15" s="1" t="str">
        <f t="shared" si="1"/>
        <v>COMMENT ON COLUMN "public"."s_advertising"."start_date" IS '广告显示开始日期';</v>
      </c>
    </row>
    <row r="16" spans="2:11" ht="17.25" x14ac:dyDescent="0.3">
      <c r="B16" s="3">
        <v>6</v>
      </c>
      <c r="C16" s="16" t="s">
        <v>159</v>
      </c>
      <c r="D16" s="16" t="s">
        <v>167</v>
      </c>
      <c r="E16" s="16" t="s">
        <v>165</v>
      </c>
      <c r="F16" s="17"/>
      <c r="G16" s="16"/>
      <c r="H16" s="16"/>
      <c r="J16" t="str">
        <f t="shared" si="0"/>
        <v xml:space="preserve">,"end_date" date </v>
      </c>
      <c r="K16" s="1" t="str">
        <f t="shared" si="1"/>
        <v>COMMENT ON COLUMN "public"."s_advertising"."end_date" IS '广告显示结束日期';</v>
      </c>
    </row>
    <row r="17" spans="2:11" ht="17.25" x14ac:dyDescent="0.3">
      <c r="B17" s="3">
        <v>7</v>
      </c>
      <c r="C17" s="16" t="s">
        <v>107</v>
      </c>
      <c r="D17" s="16" t="s">
        <v>108</v>
      </c>
      <c r="E17" s="16" t="s">
        <v>35</v>
      </c>
      <c r="F17" s="17"/>
      <c r="G17" s="16"/>
      <c r="H17" s="16"/>
      <c r="J17" t="str">
        <f t="shared" si="0"/>
        <v xml:space="preserve">,"describe" varchar(255) </v>
      </c>
      <c r="K17" s="1" t="str">
        <f t="shared" si="1"/>
        <v>COMMENT ON COLUMN "public"."s_advertising"."describe" IS '广告描述';</v>
      </c>
    </row>
    <row r="18" spans="2:11" ht="17.25" x14ac:dyDescent="0.3">
      <c r="B18" s="3">
        <v>8</v>
      </c>
      <c r="C18" s="16" t="s">
        <v>89</v>
      </c>
      <c r="D18" s="4" t="s">
        <v>161</v>
      </c>
      <c r="E18" s="7" t="s">
        <v>26</v>
      </c>
      <c r="F18" s="6"/>
      <c r="G18" s="24" t="s">
        <v>79</v>
      </c>
      <c r="H18" s="4" t="s">
        <v>91</v>
      </c>
      <c r="J18" t="str">
        <f t="shared" si="0"/>
        <v>,"is_delete" varchar(1) DEFAULT 0</v>
      </c>
      <c r="K18" s="1" t="str">
        <f t="shared" si="1"/>
        <v>COMMENT ON COLUMN "public"."s_advertising"."is_delete" IS '删除标识0:否  1:是';</v>
      </c>
    </row>
    <row r="19" spans="2:11" ht="17.25" x14ac:dyDescent="0.3">
      <c r="B19" s="3">
        <v>9</v>
      </c>
      <c r="C19" s="16" t="s">
        <v>27</v>
      </c>
      <c r="D19" s="16" t="s">
        <v>162</v>
      </c>
      <c r="E19" s="16" t="s">
        <v>250</v>
      </c>
      <c r="F19" s="6"/>
      <c r="G19" s="24"/>
      <c r="H19" s="4"/>
      <c r="J19" t="str">
        <f t="shared" si="0"/>
        <v xml:space="preserve">,"create_date" timestamp </v>
      </c>
      <c r="K19" s="1" t="str">
        <f t="shared" si="1"/>
        <v>COMMENT ON COLUMN "public"."s_advertising"."create_date" IS '创建时间';</v>
      </c>
    </row>
    <row r="20" spans="2:11" ht="17.25" x14ac:dyDescent="0.3">
      <c r="B20" s="3">
        <v>10</v>
      </c>
      <c r="C20" s="16" t="s">
        <v>8</v>
      </c>
      <c r="D20" s="16" t="s">
        <v>32</v>
      </c>
      <c r="E20" s="5" t="s">
        <v>131</v>
      </c>
      <c r="F20" s="6"/>
      <c r="G20" s="24"/>
      <c r="H20" s="4"/>
      <c r="J20" t="str">
        <f t="shared" si="0"/>
        <v xml:space="preserve">,"create_by" int8 </v>
      </c>
      <c r="K20" s="1" t="str">
        <f t="shared" si="1"/>
        <v>COMMENT ON COLUMN "public"."s_advertising"."create_by" IS '创建者';</v>
      </c>
    </row>
    <row r="21" spans="2:11" ht="17.25" x14ac:dyDescent="0.3">
      <c r="B21" s="3">
        <v>11</v>
      </c>
      <c r="C21" s="16" t="s">
        <v>28</v>
      </c>
      <c r="D21" s="16" t="s">
        <v>31</v>
      </c>
      <c r="E21" s="16" t="s">
        <v>134</v>
      </c>
      <c r="F21" s="6"/>
      <c r="G21" s="24"/>
      <c r="H21" s="4"/>
      <c r="J21" t="str">
        <f t="shared" si="0"/>
        <v xml:space="preserve">,"update_date" timestamp </v>
      </c>
      <c r="K21" s="1" t="str">
        <f t="shared" si="1"/>
        <v>COMMENT ON COLUMN "public"."s_advertising"."update_date" IS '更新时间';</v>
      </c>
    </row>
    <row r="22" spans="2:11" ht="17.25" x14ac:dyDescent="0.3">
      <c r="B22" s="3">
        <v>12</v>
      </c>
      <c r="C22" s="16" t="s">
        <v>29</v>
      </c>
      <c r="D22" s="16" t="s">
        <v>33</v>
      </c>
      <c r="E22" s="5" t="s">
        <v>131</v>
      </c>
      <c r="F22" s="6"/>
      <c r="G22" s="24"/>
      <c r="H22" s="4"/>
      <c r="J22" t="str">
        <f t="shared" si="0"/>
        <v xml:space="preserve">,"update_by" int8 </v>
      </c>
      <c r="K22" s="1" t="str">
        <f t="shared" si="1"/>
        <v>COMMENT ON COLUMN "public"."s_advertising"."update_by" IS '更新者';</v>
      </c>
    </row>
    <row r="23" spans="2:11" ht="17.25" x14ac:dyDescent="0.3">
      <c r="J23" s="1" t="s">
        <v>251</v>
      </c>
      <c r="K23" s="32" t="s">
        <v>253</v>
      </c>
    </row>
    <row r="24" spans="2:11" ht="17.25" x14ac:dyDescent="0.3">
      <c r="K24" s="1" t="str">
        <f>"-- Primary Key structure for table "&amp;$C$4</f>
        <v>-- Primary Key structure for table s_advertising</v>
      </c>
    </row>
    <row r="25" spans="2:11" ht="17.25" x14ac:dyDescent="0.3">
      <c r="K25" s="32" t="s">
        <v>253</v>
      </c>
    </row>
    <row r="26" spans="2:11" x14ac:dyDescent="0.15">
      <c r="K26" t="str">
        <f>"ALTER TABLE ""public""."""&amp;$C$4&amp;""" ADD CONSTRAINT """&amp;$C$4&amp;"_pkey"" PRIMARY KEY (""id"");"</f>
        <v>ALTER TABLE "public"."s_advertising" ADD CONSTRAINT "s_advertising_pkey" PRIMARY KEY ("id");</v>
      </c>
    </row>
    <row r="27" spans="2:11" x14ac:dyDescent="0.15">
      <c r="K27" t="str">
        <f>"DROP sequence IF EXISTS  ""public""."""&amp;$C$4&amp;"_seq"";"</f>
        <v>DROP sequence IF EXISTS  "public"."s_advertising_seq";</v>
      </c>
    </row>
    <row r="28" spans="2:11" x14ac:dyDescent="0.15">
      <c r="K28" s="26" t="str">
        <f>"create sequence "&amp;$C$4&amp;"_seq start with 1;"</f>
        <v>create sequence s_advertising_seq start with 1;</v>
      </c>
    </row>
    <row r="29" spans="2:11" x14ac:dyDescent="0.15">
      <c r="K29" s="26" t="str">
        <f>"alter table "&amp;$C$4&amp;" alter column id set default nextval('"&amp;$C$4&amp;"_seq' ::regclass);"</f>
        <v>alter table s_advertising alter column id set default nextval('s_advertising_seq' ::regclass);</v>
      </c>
    </row>
  </sheetData>
  <mergeCells count="8">
    <mergeCell ref="C4:D4"/>
    <mergeCell ref="F4:G4"/>
    <mergeCell ref="B5:G5"/>
    <mergeCell ref="B6:G8"/>
    <mergeCell ref="C2:D2"/>
    <mergeCell ref="F2:G2"/>
    <mergeCell ref="C3:D3"/>
    <mergeCell ref="F3:G3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8"/>
  <sheetViews>
    <sheetView workbookViewId="0"/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29.25" style="8" bestFit="1" customWidth="1"/>
    <col min="5" max="5" width="16.375" style="8" customWidth="1"/>
    <col min="6" max="6" width="9.75" style="8" customWidth="1"/>
    <col min="7" max="7" width="7.75" style="8" customWidth="1"/>
    <col min="8" max="8" width="21.375" style="8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1.2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s_menu 菜单管理表</v>
      </c>
    </row>
    <row r="3" spans="1:11" ht="18" x14ac:dyDescent="0.3">
      <c r="A3" s="9"/>
      <c r="B3" s="12" t="s">
        <v>10</v>
      </c>
      <c r="C3" s="49" t="s">
        <v>57</v>
      </c>
      <c r="D3" s="50"/>
      <c r="E3" s="13" t="s">
        <v>11</v>
      </c>
      <c r="F3" s="49" t="s">
        <v>117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155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"public"."s_menu";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"public"."s_menu"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24</v>
      </c>
      <c r="D11" s="4" t="s">
        <v>21</v>
      </c>
      <c r="E11" s="5" t="s">
        <v>131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"public"."s_menu"."id" IS 'ID';</v>
      </c>
    </row>
    <row r="12" spans="1:11" ht="17.25" x14ac:dyDescent="0.3">
      <c r="A12" s="9"/>
      <c r="B12" s="3">
        <v>2</v>
      </c>
      <c r="C12" s="16" t="s">
        <v>50</v>
      </c>
      <c r="D12" s="16" t="s">
        <v>39</v>
      </c>
      <c r="E12" s="5" t="s">
        <v>131</v>
      </c>
      <c r="F12" s="17"/>
      <c r="G12" s="25" t="s">
        <v>23</v>
      </c>
      <c r="H12" s="25" t="s">
        <v>23</v>
      </c>
      <c r="I12" s="9"/>
      <c r="J12" t="str">
        <f t="shared" ref="J12:J21" si="0">","""&amp;D12&amp;""" "&amp;E12&amp;" "&amp;IF(F12="Y","NOT NULL ","")&amp;IF(G12="","","DEFAULT "&amp;IF(G12="","NULL",G12))</f>
        <v xml:space="preserve">,"level" int8 </v>
      </c>
      <c r="K12" s="1" t="str">
        <f>"COMMENT ON COLUMN ""public""."""&amp;$C$4&amp;"""."""&amp;D12&amp;""" IS '"&amp;C12&amp;H12&amp;"';"</f>
        <v>COMMENT ON COLUMN "public"."s_menu"."level" IS '菜单等级';</v>
      </c>
    </row>
    <row r="13" spans="1:11" ht="17.25" x14ac:dyDescent="0.3">
      <c r="A13" s="9"/>
      <c r="B13" s="3">
        <v>3</v>
      </c>
      <c r="C13" s="16" t="s">
        <v>52</v>
      </c>
      <c r="D13" s="16" t="s">
        <v>41</v>
      </c>
      <c r="E13" s="16" t="s">
        <v>36</v>
      </c>
      <c r="F13" s="17"/>
      <c r="G13" s="16"/>
      <c r="H13" s="16"/>
      <c r="I13" s="9"/>
      <c r="J13" t="str">
        <f t="shared" si="0"/>
        <v xml:space="preserve">,"name" varchar(255) </v>
      </c>
      <c r="K13" s="1" t="str">
        <f t="shared" ref="K13:K21" si="1">"COMMENT ON COLUMN ""public""."""&amp;$C$4&amp;"""."""&amp;D13&amp;""" IS '"&amp;C13&amp;H13&amp;"';"</f>
        <v>COMMENT ON COLUMN "public"."s_menu"."name" IS '菜单名';</v>
      </c>
    </row>
    <row r="14" spans="1:11" ht="17.25" x14ac:dyDescent="0.3">
      <c r="A14" s="9"/>
      <c r="B14" s="3">
        <v>5</v>
      </c>
      <c r="C14" s="16" t="s">
        <v>51</v>
      </c>
      <c r="D14" s="16" t="s">
        <v>40</v>
      </c>
      <c r="E14" s="16" t="s">
        <v>36</v>
      </c>
      <c r="F14" s="17"/>
      <c r="G14" s="16"/>
      <c r="H14" s="16"/>
      <c r="I14" s="9"/>
      <c r="J14" t="str">
        <f t="shared" si="0"/>
        <v xml:space="preserve">,"link" varchar(255) </v>
      </c>
      <c r="K14" s="1" t="str">
        <f t="shared" si="1"/>
        <v>COMMENT ON COLUMN "public"."s_menu"."link" IS '菜单链接';</v>
      </c>
    </row>
    <row r="15" spans="1:11" ht="17.25" x14ac:dyDescent="0.3">
      <c r="A15" s="9"/>
      <c r="B15" s="3">
        <v>6</v>
      </c>
      <c r="C15" s="16" t="s">
        <v>54</v>
      </c>
      <c r="D15" s="16" t="s">
        <v>42</v>
      </c>
      <c r="E15" s="5" t="s">
        <v>131</v>
      </c>
      <c r="F15" s="17"/>
      <c r="G15" s="16"/>
      <c r="H15" s="16"/>
      <c r="I15" s="9"/>
      <c r="J15" t="str">
        <f t="shared" si="0"/>
        <v xml:space="preserve">,"parent_id" int8 </v>
      </c>
      <c r="K15" s="1" t="str">
        <f t="shared" si="1"/>
        <v>COMMENT ON COLUMN "public"."s_menu"."parent_id" IS '父菜单id';</v>
      </c>
    </row>
    <row r="16" spans="1:11" ht="17.25" x14ac:dyDescent="0.3">
      <c r="A16" s="9"/>
      <c r="B16" s="3">
        <v>7</v>
      </c>
      <c r="C16" s="16" t="s">
        <v>55</v>
      </c>
      <c r="D16" s="16" t="s">
        <v>44</v>
      </c>
      <c r="E16" s="16" t="s">
        <v>59</v>
      </c>
      <c r="F16" s="17"/>
      <c r="G16" s="16"/>
      <c r="H16" s="16"/>
      <c r="I16" s="9"/>
      <c r="J16" t="str">
        <f t="shared" si="0"/>
        <v xml:space="preserve">,"orders" varchar(20) </v>
      </c>
      <c r="K16" s="1" t="str">
        <f t="shared" si="1"/>
        <v>COMMENT ON COLUMN "public"."s_menu"."orders" IS '菜单排序';</v>
      </c>
    </row>
    <row r="17" spans="1:11" ht="17.25" x14ac:dyDescent="0.3">
      <c r="A17" s="9"/>
      <c r="B17" s="3">
        <v>8</v>
      </c>
      <c r="C17" s="16" t="s">
        <v>56</v>
      </c>
      <c r="D17" s="16" t="s">
        <v>45</v>
      </c>
      <c r="E17" s="16" t="s">
        <v>36</v>
      </c>
      <c r="F17" s="17"/>
      <c r="G17" s="16"/>
      <c r="H17" s="16"/>
      <c r="I17" s="9"/>
      <c r="J17" t="str">
        <f t="shared" si="0"/>
        <v xml:space="preserve">,"component" varchar(255) </v>
      </c>
      <c r="K17" s="1" t="str">
        <f t="shared" si="1"/>
        <v>COMMENT ON COLUMN "public"."s_menu"."component" IS '菜单组件';</v>
      </c>
    </row>
    <row r="18" spans="1:11" ht="17.25" x14ac:dyDescent="0.3">
      <c r="A18" s="9"/>
      <c r="B18" s="3">
        <v>9</v>
      </c>
      <c r="C18" s="16" t="s">
        <v>48</v>
      </c>
      <c r="D18" s="16" t="s">
        <v>46</v>
      </c>
      <c r="E18" s="16" t="s">
        <v>36</v>
      </c>
      <c r="F18" s="17"/>
      <c r="G18" s="16"/>
      <c r="H18" s="16"/>
      <c r="I18" s="9"/>
      <c r="J18" t="str">
        <f t="shared" si="0"/>
        <v xml:space="preserve">,"icon1" varchar(255) </v>
      </c>
      <c r="K18" s="1" t="str">
        <f t="shared" si="1"/>
        <v>COMMENT ON COLUMN "public"."s_menu"."icon1" IS '菜单图标1';</v>
      </c>
    </row>
    <row r="19" spans="1:11" ht="17.25" x14ac:dyDescent="0.3">
      <c r="A19" s="9"/>
      <c r="B19" s="3">
        <v>10</v>
      </c>
      <c r="C19" s="16" t="s">
        <v>49</v>
      </c>
      <c r="D19" s="16" t="s">
        <v>47</v>
      </c>
      <c r="E19" s="16" t="s">
        <v>36</v>
      </c>
      <c r="F19" s="17"/>
      <c r="G19" s="16"/>
      <c r="H19" s="16"/>
      <c r="I19" s="9"/>
      <c r="J19" t="str">
        <f t="shared" si="0"/>
        <v xml:space="preserve">,"icon2" varchar(255) </v>
      </c>
      <c r="K19" s="1" t="str">
        <f t="shared" si="1"/>
        <v>COMMENT ON COLUMN "public"."s_menu"."icon2" IS '菜单图标2';</v>
      </c>
    </row>
    <row r="20" spans="1:11" ht="17.25" x14ac:dyDescent="0.3">
      <c r="A20" s="9"/>
      <c r="B20" s="3">
        <v>11</v>
      </c>
      <c r="C20" s="16" t="s">
        <v>53</v>
      </c>
      <c r="D20" s="16" t="s">
        <v>43</v>
      </c>
      <c r="E20" s="7" t="s">
        <v>26</v>
      </c>
      <c r="F20" s="17"/>
      <c r="G20" s="16" t="s">
        <v>130</v>
      </c>
      <c r="H20" s="4" t="s">
        <v>127</v>
      </c>
      <c r="I20" s="9"/>
      <c r="J20" t="str">
        <f t="shared" si="0"/>
        <v>,"is_parent" varchar(1) DEFAULT 0</v>
      </c>
      <c r="K20" s="1" t="str">
        <f t="shared" si="1"/>
        <v>COMMENT ON COLUMN "public"."s_menu"."is_parent" IS '是否为顶层父类 0：否 1：是';</v>
      </c>
    </row>
    <row r="21" spans="1:11" ht="17.25" x14ac:dyDescent="0.3">
      <c r="A21" s="9"/>
      <c r="B21" s="3">
        <v>12</v>
      </c>
      <c r="C21" s="16" t="s">
        <v>185</v>
      </c>
      <c r="D21" s="16" t="s">
        <v>186</v>
      </c>
      <c r="E21" s="7" t="s">
        <v>26</v>
      </c>
      <c r="F21" s="17"/>
      <c r="G21" s="16" t="s">
        <v>130</v>
      </c>
      <c r="H21" s="4" t="s">
        <v>187</v>
      </c>
      <c r="I21" s="9"/>
      <c r="J21" t="str">
        <f t="shared" si="0"/>
        <v>,"is_manage" varchar(1) DEFAULT 0</v>
      </c>
      <c r="K21" s="1" t="str">
        <f t="shared" si="1"/>
        <v>COMMENT ON COLUMN "public"."s_menu"."is_manage" IS '是否为综合管理 0：否 1：是';</v>
      </c>
    </row>
    <row r="22" spans="1:11" ht="17.25" x14ac:dyDescent="0.3">
      <c r="J22" s="1" t="s">
        <v>251</v>
      </c>
      <c r="K22" s="32" t="s">
        <v>253</v>
      </c>
    </row>
    <row r="23" spans="1:11" ht="17.25" x14ac:dyDescent="0.3">
      <c r="K23" s="1" t="str">
        <f>"-- Primary Key structure for table "&amp;$C$4</f>
        <v>-- Primary Key structure for table s_menu</v>
      </c>
    </row>
    <row r="24" spans="1:11" ht="17.25" x14ac:dyDescent="0.3">
      <c r="K24" s="32" t="s">
        <v>253</v>
      </c>
    </row>
    <row r="25" spans="1:11" x14ac:dyDescent="0.15">
      <c r="K25" t="str">
        <f>"ALTER TABLE ""public""."""&amp;$C$4&amp;""" ADD CONSTRAINT """&amp;$C$4&amp;"_pkey"" PRIMARY KEY (""id"");"</f>
        <v>ALTER TABLE "public"."s_menu" ADD CONSTRAINT "s_menu_pkey" PRIMARY KEY ("id");</v>
      </c>
    </row>
    <row r="26" spans="1:11" x14ac:dyDescent="0.15">
      <c r="K26" t="str">
        <f>"DROP sequence IF EXISTS  ""public""."""&amp;$C$4&amp;"_seq"";"</f>
        <v>DROP sequence IF EXISTS  "public"."s_menu_seq";</v>
      </c>
    </row>
    <row r="27" spans="1:11" x14ac:dyDescent="0.15">
      <c r="K27" s="26" t="str">
        <f>"create sequence "&amp;$C$4&amp;"_seq start with 1;"</f>
        <v>create sequence s_menu_seq start with 1;</v>
      </c>
    </row>
    <row r="28" spans="1:11" x14ac:dyDescent="0.15">
      <c r="K28" s="26" t="str">
        <f>"alter table "&amp;$C$4&amp;" alter column id set default nextval('"&amp;$C$4&amp;"_seq' ::regclass);"</f>
        <v>alter table s_menu alter column id set default nextval('s_menu_seq'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3"/>
  <sheetViews>
    <sheetView workbookViewId="0"/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19.25" style="8" customWidth="1"/>
    <col min="5" max="5" width="16.375" style="8" customWidth="1"/>
    <col min="6" max="6" width="9.75" style="8" customWidth="1"/>
    <col min="7" max="7" width="7.75" style="8" customWidth="1"/>
    <col min="8" max="8" width="21.375" style="8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3.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s_file_record 文件管理表</v>
      </c>
    </row>
    <row r="3" spans="1:11" ht="18" x14ac:dyDescent="0.3">
      <c r="A3" s="9"/>
      <c r="B3" s="12" t="s">
        <v>10</v>
      </c>
      <c r="C3" s="49" t="s">
        <v>192</v>
      </c>
      <c r="D3" s="50"/>
      <c r="E3" s="13" t="s">
        <v>11</v>
      </c>
      <c r="F3" s="51">
        <v>44326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193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"public"."s_file_record";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"public"."s_file_record"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189</v>
      </c>
      <c r="D11" s="4" t="s">
        <v>21</v>
      </c>
      <c r="E11" s="16" t="s">
        <v>190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varchar(32) NOT NULL </v>
      </c>
      <c r="K11" s="1" t="str">
        <f>"COMMENT ON COLUMN ""public""."""&amp;$C$4&amp;"""."""&amp;D11&amp;""" IS '"&amp;C11&amp;H11&amp;"';"</f>
        <v>COMMENT ON COLUMN "public"."s_file_record"."id" IS '文件ID';</v>
      </c>
    </row>
    <row r="12" spans="1:11" ht="17.25" x14ac:dyDescent="0.3">
      <c r="A12" s="9"/>
      <c r="B12" s="3">
        <v>2</v>
      </c>
      <c r="C12" s="16" t="s">
        <v>199</v>
      </c>
      <c r="D12" s="16" t="s">
        <v>194</v>
      </c>
      <c r="E12" s="7" t="s">
        <v>35</v>
      </c>
      <c r="F12" s="6" t="s">
        <v>22</v>
      </c>
      <c r="G12" s="25"/>
      <c r="H12" s="25"/>
      <c r="I12" s="9"/>
      <c r="J12" t="str">
        <f t="shared" ref="J12:J17" si="0">","""&amp;D12&amp;""" "&amp;E12&amp;" "&amp;IF(F12="Y","NOT NULL ","")&amp;IF(G12="","","DEFAULT "&amp;IF(G12="","NULL",G12))</f>
        <v xml:space="preserve">,"load_path" varchar(255) NOT NULL </v>
      </c>
      <c r="K12" s="1" t="str">
        <f>"COMMENT ON COLUMN ""public""."""&amp;$C$4&amp;"""."""&amp;D12&amp;""" IS '"&amp;C12&amp;H12&amp;"';"</f>
        <v>COMMENT ON COLUMN "public"."s_file_record"."load_path" IS '文件存储路径';</v>
      </c>
    </row>
    <row r="13" spans="1:11" ht="17.25" x14ac:dyDescent="0.3">
      <c r="A13" s="9"/>
      <c r="B13" s="3">
        <v>3</v>
      </c>
      <c r="C13" s="16" t="s">
        <v>200</v>
      </c>
      <c r="D13" s="16" t="s">
        <v>195</v>
      </c>
      <c r="E13" s="7" t="s">
        <v>35</v>
      </c>
      <c r="F13" s="6" t="s">
        <v>22</v>
      </c>
      <c r="G13" s="16"/>
      <c r="H13" s="16"/>
      <c r="I13" s="9"/>
      <c r="J13" t="str">
        <f t="shared" si="0"/>
        <v xml:space="preserve">,"new_name" varchar(255) NOT NULL </v>
      </c>
      <c r="K13" s="1" t="str">
        <f t="shared" ref="K13:K17" si="1">"COMMENT ON COLUMN ""public""."""&amp;$C$4&amp;"""."""&amp;D13&amp;""" IS '"&amp;C13&amp;H13&amp;"';"</f>
        <v>COMMENT ON COLUMN "public"."s_file_record"."new_name" IS '转存文件名称';</v>
      </c>
    </row>
    <row r="14" spans="1:11" ht="17.25" x14ac:dyDescent="0.3">
      <c r="A14" s="9"/>
      <c r="B14" s="3">
        <v>4</v>
      </c>
      <c r="C14" s="16" t="s">
        <v>201</v>
      </c>
      <c r="D14" s="16" t="s">
        <v>196</v>
      </c>
      <c r="E14" s="7" t="s">
        <v>35</v>
      </c>
      <c r="F14" s="6" t="s">
        <v>22</v>
      </c>
      <c r="G14" s="16"/>
      <c r="H14" s="16"/>
      <c r="I14" s="9"/>
      <c r="J14" t="str">
        <f t="shared" si="0"/>
        <v xml:space="preserve">,"original_name" varchar(255) NOT NULL </v>
      </c>
      <c r="K14" s="1" t="str">
        <f t="shared" si="1"/>
        <v>COMMENT ON COLUMN "public"."s_file_record"."original_name" IS '原文件名称';</v>
      </c>
    </row>
    <row r="15" spans="1:11" ht="17.25" x14ac:dyDescent="0.3">
      <c r="A15" s="9"/>
      <c r="B15" s="3">
        <v>5</v>
      </c>
      <c r="C15" s="16" t="s">
        <v>202</v>
      </c>
      <c r="D15" s="16" t="s">
        <v>203</v>
      </c>
      <c r="E15" s="7" t="s">
        <v>133</v>
      </c>
      <c r="F15" s="6" t="s">
        <v>22</v>
      </c>
      <c r="G15" s="16"/>
      <c r="H15" s="16"/>
      <c r="I15" s="9"/>
      <c r="J15" t="str">
        <f t="shared" si="0"/>
        <v xml:space="preserve">,"size" int8 NOT NULL </v>
      </c>
      <c r="K15" s="1" t="str">
        <f t="shared" si="1"/>
        <v>COMMENT ON COLUMN "public"."s_file_record"."size" IS '文件大小';</v>
      </c>
    </row>
    <row r="16" spans="1:11" ht="17.25" x14ac:dyDescent="0.3">
      <c r="A16" s="9"/>
      <c r="B16" s="3">
        <v>6</v>
      </c>
      <c r="C16" s="16" t="s">
        <v>204</v>
      </c>
      <c r="D16" s="16" t="s">
        <v>197</v>
      </c>
      <c r="E16" s="16" t="s">
        <v>134</v>
      </c>
      <c r="F16" s="6" t="s">
        <v>22</v>
      </c>
      <c r="G16" s="16"/>
      <c r="H16" s="16"/>
      <c r="I16" s="9"/>
      <c r="J16" t="str">
        <f t="shared" si="0"/>
        <v xml:space="preserve">,"upload_time" timestamp NOT NULL </v>
      </c>
      <c r="K16" s="1" t="str">
        <f t="shared" si="1"/>
        <v>COMMENT ON COLUMN "public"."s_file_record"."upload_time" IS '上传时间';</v>
      </c>
    </row>
    <row r="17" spans="1:11" ht="17.25" x14ac:dyDescent="0.3">
      <c r="A17" s="9"/>
      <c r="B17" s="3">
        <v>7</v>
      </c>
      <c r="C17" s="16" t="s">
        <v>205</v>
      </c>
      <c r="D17" s="16" t="s">
        <v>198</v>
      </c>
      <c r="E17" s="7" t="s">
        <v>35</v>
      </c>
      <c r="F17" s="6" t="s">
        <v>22</v>
      </c>
      <c r="G17" s="25"/>
      <c r="H17" s="25"/>
      <c r="I17" s="9"/>
      <c r="J17" t="str">
        <f t="shared" si="0"/>
        <v xml:space="preserve">,"md5" varchar(255) NOT NULL </v>
      </c>
      <c r="K17" s="1" t="str">
        <f t="shared" si="1"/>
        <v>COMMENT ON COLUMN "public"."s_file_record"."md5" IS '文件MD5';</v>
      </c>
    </row>
    <row r="18" spans="1:11" ht="17.25" x14ac:dyDescent="0.3">
      <c r="J18" s="1" t="s">
        <v>251</v>
      </c>
      <c r="K18" s="32" t="s">
        <v>253</v>
      </c>
    </row>
    <row r="19" spans="1:11" ht="17.25" x14ac:dyDescent="0.3">
      <c r="K19" s="1" t="str">
        <f>"-- Primary Key structure for table "&amp;$C$4</f>
        <v>-- Primary Key structure for table s_file_record</v>
      </c>
    </row>
    <row r="20" spans="1:11" ht="17.25" x14ac:dyDescent="0.3">
      <c r="K20" s="32" t="s">
        <v>253</v>
      </c>
    </row>
    <row r="21" spans="1:11" x14ac:dyDescent="0.15">
      <c r="K21" t="str">
        <f>"ALTER TABLE ""public""."""&amp;$C$4&amp;""" ADD CONSTRAINT """&amp;$C$4&amp;"_pkey"" PRIMARY KEY (""id"");"</f>
        <v>ALTER TABLE "public"."s_file_record" ADD CONSTRAINT "s_file_record_pkey" PRIMARY KEY ("id");</v>
      </c>
    </row>
    <row r="22" spans="1:11" x14ac:dyDescent="0.15">
      <c r="K22" s="26"/>
    </row>
    <row r="23" spans="1:11" x14ac:dyDescent="0.15">
      <c r="K23" s="26"/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0"/>
  <sheetViews>
    <sheetView workbookViewId="0"/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19.25" style="8" customWidth="1"/>
    <col min="5" max="5" width="16.375" style="8" customWidth="1"/>
    <col min="6" max="6" width="9.75" style="8" customWidth="1"/>
    <col min="7" max="7" width="7.75" style="8" customWidth="1"/>
    <col min="8" max="8" width="26.875" style="8" bestFit="1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3.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s_notice 信息发布表</v>
      </c>
    </row>
    <row r="3" spans="1:11" ht="18" x14ac:dyDescent="0.3">
      <c r="A3" s="9"/>
      <c r="B3" s="12" t="s">
        <v>10</v>
      </c>
      <c r="C3" s="49" t="s">
        <v>219</v>
      </c>
      <c r="D3" s="50"/>
      <c r="E3" s="13" t="s">
        <v>11</v>
      </c>
      <c r="F3" s="51">
        <v>44326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217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"public"."s_notice";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"public"."s_notice"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220</v>
      </c>
      <c r="D11" s="4" t="s">
        <v>21</v>
      </c>
      <c r="E11" s="5" t="s">
        <v>131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"public"."s_notice"."id" IS 'ID';</v>
      </c>
    </row>
    <row r="12" spans="1:11" ht="17.25" x14ac:dyDescent="0.3">
      <c r="A12" s="9"/>
      <c r="B12" s="3">
        <v>2</v>
      </c>
      <c r="C12" s="16" t="s">
        <v>221</v>
      </c>
      <c r="D12" s="16" t="s">
        <v>222</v>
      </c>
      <c r="E12" s="7" t="s">
        <v>35</v>
      </c>
      <c r="F12" s="6" t="s">
        <v>22</v>
      </c>
      <c r="G12" s="25"/>
      <c r="H12" s="25"/>
      <c r="I12" s="9"/>
      <c r="J12" t="str">
        <f>","""&amp;D12&amp;""" "&amp;E12&amp;" "&amp;IF(F12="Y","NOT NULL ","")&amp;IF(G12="","","DEFAULT "&amp;IF(G12="","NULL",G12))</f>
        <v xml:space="preserve">,"title" varchar(255) NOT NULL </v>
      </c>
      <c r="K12" s="1" t="str">
        <f>"COMMENT ON COLUMN ""public""."""&amp;$C$4&amp;"""."""&amp;D12&amp;""" IS '"&amp;C12&amp;H12&amp;"';"</f>
        <v>COMMENT ON COLUMN "public"."s_notice"."title" IS '信息标题';</v>
      </c>
    </row>
    <row r="13" spans="1:11" ht="17.25" x14ac:dyDescent="0.3">
      <c r="A13" s="9"/>
      <c r="B13" s="3">
        <v>3</v>
      </c>
      <c r="C13" s="16" t="s">
        <v>223</v>
      </c>
      <c r="D13" s="16" t="s">
        <v>224</v>
      </c>
      <c r="E13" s="7" t="s">
        <v>59</v>
      </c>
      <c r="F13" s="6" t="s">
        <v>22</v>
      </c>
      <c r="G13" s="16"/>
      <c r="H13" s="16"/>
      <c r="I13" s="9"/>
      <c r="J13" t="str">
        <f t="shared" ref="J13:J22" si="0">","""&amp;D13&amp;""" "&amp;E13&amp;" "&amp;IF(F13="Y","NOT NULL ","")&amp;IF(G13="","","DEFAULT "&amp;IF(G13="","NULL",G13))</f>
        <v xml:space="preserve">,"type" varchar(20) NOT NULL </v>
      </c>
      <c r="K13" s="1" t="str">
        <f t="shared" ref="K13:K17" si="1">"COMMENT ON COLUMN ""public""."""&amp;$C$4&amp;"""."""&amp;D13&amp;""" IS '"&amp;C13&amp;H13&amp;"';"</f>
        <v>COMMENT ON COLUMN "public"."s_notice"."type" IS '类型';</v>
      </c>
    </row>
    <row r="14" spans="1:11" ht="17.25" x14ac:dyDescent="0.3">
      <c r="A14" s="9"/>
      <c r="B14" s="3">
        <v>4</v>
      </c>
      <c r="C14" s="16" t="s">
        <v>226</v>
      </c>
      <c r="D14" s="16" t="s">
        <v>227</v>
      </c>
      <c r="E14" s="7" t="s">
        <v>35</v>
      </c>
      <c r="F14" s="6" t="s">
        <v>22</v>
      </c>
      <c r="G14" s="16"/>
      <c r="H14" s="16"/>
      <c r="I14" s="9"/>
      <c r="J14" t="str">
        <f t="shared" si="0"/>
        <v xml:space="preserve">,"summary" varchar(255) NOT NULL </v>
      </c>
      <c r="K14" s="1" t="str">
        <f t="shared" si="1"/>
        <v>COMMENT ON COLUMN "public"."s_notice"."summary" IS '信息摘要';</v>
      </c>
    </row>
    <row r="15" spans="1:11" ht="17.25" x14ac:dyDescent="0.3">
      <c r="A15" s="9"/>
      <c r="B15" s="3">
        <v>5</v>
      </c>
      <c r="C15" s="16" t="s">
        <v>228</v>
      </c>
      <c r="D15" s="16" t="s">
        <v>229</v>
      </c>
      <c r="E15" s="7" t="s">
        <v>225</v>
      </c>
      <c r="F15" s="6" t="s">
        <v>22</v>
      </c>
      <c r="G15" s="16"/>
      <c r="H15" s="16"/>
      <c r="I15" s="9"/>
      <c r="J15" t="str">
        <f t="shared" si="0"/>
        <v xml:space="preserve">,"content" text NOT NULL </v>
      </c>
      <c r="K15" s="1" t="str">
        <f t="shared" si="1"/>
        <v>COMMENT ON COLUMN "public"."s_notice"."content" IS '信息正文';</v>
      </c>
    </row>
    <row r="16" spans="1:11" ht="17.25" x14ac:dyDescent="0.3">
      <c r="A16" s="9"/>
      <c r="B16" s="3">
        <v>6</v>
      </c>
      <c r="C16" s="16" t="s">
        <v>320</v>
      </c>
      <c r="D16" s="16" t="s">
        <v>230</v>
      </c>
      <c r="E16" s="7" t="s">
        <v>231</v>
      </c>
      <c r="F16" s="6"/>
      <c r="G16" s="24" t="s">
        <v>79</v>
      </c>
      <c r="H16" s="4" t="s">
        <v>232</v>
      </c>
      <c r="I16" s="9"/>
      <c r="J16" t="str">
        <f t="shared" si="0"/>
        <v>,"publish_type" varchar(1) DEFAULT 0</v>
      </c>
      <c r="K16" s="1" t="str">
        <f t="shared" si="1"/>
        <v>COMMENT ON COLUMN "public"."s_notice"."publish_type" IS '发布对象区分 0：全部客户 1：指定客户';</v>
      </c>
    </row>
    <row r="17" spans="1:11" ht="17.25" x14ac:dyDescent="0.3">
      <c r="A17" s="9"/>
      <c r="B17" s="3">
        <v>7</v>
      </c>
      <c r="C17" s="16" t="s">
        <v>233</v>
      </c>
      <c r="D17" s="16" t="s">
        <v>124</v>
      </c>
      <c r="E17" s="5" t="s">
        <v>131</v>
      </c>
      <c r="F17" s="6"/>
      <c r="G17" s="24"/>
      <c r="H17" s="4"/>
      <c r="I17" s="9"/>
      <c r="J17" t="str">
        <f t="shared" si="0"/>
        <v xml:space="preserve">,"customer_id" int8 </v>
      </c>
      <c r="K17" s="1" t="str">
        <f t="shared" si="1"/>
        <v>COMMENT ON COLUMN "public"."s_notice"."customer_id" IS '发布对象ID';</v>
      </c>
    </row>
    <row r="18" spans="1:11" customFormat="1" ht="17.25" x14ac:dyDescent="0.3">
      <c r="B18" s="3">
        <v>8</v>
      </c>
      <c r="C18" s="16" t="s">
        <v>89</v>
      </c>
      <c r="D18" s="4" t="s">
        <v>90</v>
      </c>
      <c r="E18" s="7" t="s">
        <v>231</v>
      </c>
      <c r="F18" s="6"/>
      <c r="G18" s="24" t="s">
        <v>79</v>
      </c>
      <c r="H18" s="4" t="s">
        <v>127</v>
      </c>
      <c r="J18" t="str">
        <f t="shared" si="0"/>
        <v>,"is_delete" varchar(1) DEFAULT 0</v>
      </c>
      <c r="K18" s="1" t="str">
        <f t="shared" ref="K18:K22" si="2">"COMMENT ON COLUMN ""public""."""&amp;$C$4&amp;"""."""&amp;D18&amp;""" IS '"&amp;C18&amp;H18&amp;"';"</f>
        <v>COMMENT ON COLUMN "public"."s_notice"."is_delete" IS '删除标识 0：否 1：是';</v>
      </c>
    </row>
    <row r="19" spans="1:11" ht="17.25" x14ac:dyDescent="0.3">
      <c r="A19" s="9"/>
      <c r="B19" s="3">
        <v>9</v>
      </c>
      <c r="C19" s="16" t="s">
        <v>27</v>
      </c>
      <c r="D19" s="16" t="s">
        <v>30</v>
      </c>
      <c r="E19" s="16" t="s">
        <v>134</v>
      </c>
      <c r="F19" s="17"/>
      <c r="G19" s="25" t="s">
        <v>23</v>
      </c>
      <c r="H19" s="16"/>
      <c r="I19" s="9"/>
      <c r="J19" t="str">
        <f t="shared" si="0"/>
        <v xml:space="preserve">,"create_date" timestamp </v>
      </c>
      <c r="K19" s="1" t="str">
        <f t="shared" si="2"/>
        <v>COMMENT ON COLUMN "public"."s_notice"."create_date" IS '创建时间';</v>
      </c>
    </row>
    <row r="20" spans="1:11" ht="17.25" x14ac:dyDescent="0.3">
      <c r="A20" s="9"/>
      <c r="B20" s="3">
        <v>10</v>
      </c>
      <c r="C20" s="16" t="s">
        <v>8</v>
      </c>
      <c r="D20" s="16" t="s">
        <v>32</v>
      </c>
      <c r="E20" s="5" t="s">
        <v>131</v>
      </c>
      <c r="F20" s="17"/>
      <c r="G20" s="25" t="s">
        <v>23</v>
      </c>
      <c r="H20" s="16"/>
      <c r="I20" s="9"/>
      <c r="J20" t="str">
        <f t="shared" si="0"/>
        <v xml:space="preserve">,"create_by" int8 </v>
      </c>
      <c r="K20" s="1" t="str">
        <f t="shared" si="2"/>
        <v>COMMENT ON COLUMN "public"."s_notice"."create_by" IS '创建者';</v>
      </c>
    </row>
    <row r="21" spans="1:11" ht="17.25" x14ac:dyDescent="0.3">
      <c r="A21" s="9"/>
      <c r="B21" s="3">
        <v>11</v>
      </c>
      <c r="C21" s="16" t="s">
        <v>28</v>
      </c>
      <c r="D21" s="16" t="s">
        <v>31</v>
      </c>
      <c r="E21" s="16" t="s">
        <v>134</v>
      </c>
      <c r="F21" s="17"/>
      <c r="G21" s="25" t="s">
        <v>23</v>
      </c>
      <c r="H21" s="16"/>
      <c r="I21" s="9"/>
      <c r="J21" t="str">
        <f t="shared" si="0"/>
        <v xml:space="preserve">,"update_date" timestamp </v>
      </c>
      <c r="K21" s="1" t="str">
        <f t="shared" si="2"/>
        <v>COMMENT ON COLUMN "public"."s_notice"."update_date" IS '更新时间';</v>
      </c>
    </row>
    <row r="22" spans="1:11" ht="17.25" x14ac:dyDescent="0.3">
      <c r="A22" s="9"/>
      <c r="B22" s="3">
        <v>12</v>
      </c>
      <c r="C22" s="16" t="s">
        <v>29</v>
      </c>
      <c r="D22" s="16" t="s">
        <v>33</v>
      </c>
      <c r="E22" s="5" t="s">
        <v>131</v>
      </c>
      <c r="F22" s="17"/>
      <c r="G22" s="25" t="s">
        <v>23</v>
      </c>
      <c r="H22" s="16"/>
      <c r="I22" s="9"/>
      <c r="J22" t="str">
        <f t="shared" si="0"/>
        <v xml:space="preserve">,"update_by" int8 </v>
      </c>
      <c r="K22" s="1" t="str">
        <f t="shared" si="2"/>
        <v>COMMENT ON COLUMN "public"."s_notice"."update_by" IS '更新者';</v>
      </c>
    </row>
    <row r="23" spans="1:11" ht="17.25" x14ac:dyDescent="0.3">
      <c r="A23" s="9"/>
      <c r="B23" s="9"/>
      <c r="C23" s="9"/>
      <c r="D23" s="9"/>
      <c r="E23" s="9"/>
      <c r="F23" s="9"/>
      <c r="G23" s="9"/>
      <c r="H23" s="9"/>
      <c r="I23" s="9"/>
      <c r="J23" s="1" t="s">
        <v>251</v>
      </c>
      <c r="K23" s="32" t="s">
        <v>253</v>
      </c>
    </row>
    <row r="24" spans="1:11" ht="17.25" x14ac:dyDescent="0.3">
      <c r="A24" s="9"/>
      <c r="B24" s="9"/>
      <c r="C24" s="9"/>
      <c r="D24" s="9"/>
      <c r="E24" s="9"/>
      <c r="F24" s="9"/>
      <c r="G24" s="9"/>
      <c r="H24" s="9"/>
      <c r="I24" s="9"/>
      <c r="K24" s="1" t="str">
        <f>"-- Primary Key structure for table "&amp;$C$4</f>
        <v>-- Primary Key structure for table s_notice</v>
      </c>
    </row>
    <row r="25" spans="1:11" ht="17.25" x14ac:dyDescent="0.3">
      <c r="A25" s="9"/>
      <c r="B25" s="9"/>
      <c r="C25" s="9"/>
      <c r="D25" s="9"/>
      <c r="E25" s="9"/>
      <c r="F25" s="9"/>
      <c r="G25" s="9"/>
      <c r="H25" s="9"/>
      <c r="I25" s="9"/>
      <c r="K25" s="32" t="s">
        <v>253</v>
      </c>
    </row>
    <row r="26" spans="1:11" ht="17.25" x14ac:dyDescent="0.3">
      <c r="A26" s="9"/>
      <c r="B26" s="9"/>
      <c r="C26" s="9"/>
      <c r="D26" s="9"/>
      <c r="E26" s="9"/>
      <c r="F26" s="9"/>
      <c r="G26" s="9"/>
      <c r="H26" s="9"/>
      <c r="I26" s="9"/>
      <c r="K26" t="str">
        <f>"ALTER TABLE ""public""."""&amp;$C$4&amp;""" ADD CONSTRAINT """&amp;$C$4&amp;"_pkey"" PRIMARY KEY (""id"");"</f>
        <v>ALTER TABLE "public"."s_notice" ADD CONSTRAINT "s_notice_pkey" PRIMARY KEY ("id");</v>
      </c>
    </row>
    <row r="27" spans="1:11" ht="17.25" x14ac:dyDescent="0.3">
      <c r="A27" s="9"/>
      <c r="B27" s="9"/>
      <c r="C27" s="9"/>
      <c r="D27" s="9"/>
      <c r="E27" s="9"/>
      <c r="F27" s="9"/>
      <c r="G27" s="9"/>
      <c r="H27" s="9"/>
      <c r="I27" s="9"/>
      <c r="K27" t="str">
        <f>"DROP sequence IF EXISTS  ""public""."""&amp;$C$4&amp;"_seq"";"</f>
        <v>DROP sequence IF EXISTS  "public"."s_notice_seq";</v>
      </c>
    </row>
    <row r="28" spans="1:11" x14ac:dyDescent="0.15">
      <c r="K28" s="26" t="str">
        <f>"create sequence "&amp;$C$4&amp;"_seq start with 1;"</f>
        <v>create sequence s_notice_seq start with 1;</v>
      </c>
    </row>
    <row r="29" spans="1:11" x14ac:dyDescent="0.15">
      <c r="K29" s="26" t="str">
        <f>"alter table "&amp;$C$4&amp;" alter column id set default nextval('"&amp;$C$4&amp;"_seq' ::regclass);"</f>
        <v>alter table s_notice alter column id set default nextval('s_notice_seq' ::regclass);</v>
      </c>
    </row>
    <row r="30" spans="1:11" x14ac:dyDescent="0.15">
      <c r="K30" s="26"/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46"/>
  <sheetViews>
    <sheetView workbookViewId="0">
      <selection activeCell="H2" sqref="H2"/>
    </sheetView>
  </sheetViews>
  <sheetFormatPr defaultColWidth="9" defaultRowHeight="13.5" x14ac:dyDescent="0.15"/>
  <cols>
    <col min="1" max="1" width="2" style="8" customWidth="1"/>
    <col min="2" max="2" width="9.75" style="8" customWidth="1"/>
    <col min="3" max="3" width="15" style="8" customWidth="1"/>
    <col min="4" max="4" width="19.25" style="8" customWidth="1"/>
    <col min="5" max="5" width="16.375" style="8" customWidth="1"/>
    <col min="6" max="6" width="9.75" style="8" customWidth="1"/>
    <col min="7" max="7" width="7.75" style="8" customWidth="1"/>
    <col min="8" max="8" width="21.375" style="8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8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93</v>
      </c>
      <c r="I2" s="9"/>
      <c r="J2" s="1" t="str">
        <f>"-- Table structure for  "&amp;$C$4&amp;" "&amp;$C$3</f>
        <v>-- Table structure for  s_dic 数据字典表</v>
      </c>
    </row>
    <row r="3" spans="1:11" ht="18" x14ac:dyDescent="0.3">
      <c r="A3" s="9"/>
      <c r="B3" s="12" t="s">
        <v>10</v>
      </c>
      <c r="C3" s="49" t="s">
        <v>34</v>
      </c>
      <c r="D3" s="50"/>
      <c r="E3" s="13" t="s">
        <v>11</v>
      </c>
      <c r="F3" s="49" t="s">
        <v>116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128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"public"."s_dic";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"public"."s_dic"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24</v>
      </c>
      <c r="D11" s="4" t="s">
        <v>21</v>
      </c>
      <c r="E11" s="16" t="s">
        <v>131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"public"."s_dic"."id" IS 'ID';</v>
      </c>
    </row>
    <row r="12" spans="1:11" ht="17.25" x14ac:dyDescent="0.3">
      <c r="A12" s="9"/>
      <c r="B12" s="3">
        <v>2</v>
      </c>
      <c r="C12" s="16" t="s">
        <v>245</v>
      </c>
      <c r="D12" s="16" t="s">
        <v>241</v>
      </c>
      <c r="E12" s="16" t="s">
        <v>25</v>
      </c>
      <c r="F12" s="6" t="s">
        <v>22</v>
      </c>
      <c r="G12" s="25" t="s">
        <v>23</v>
      </c>
      <c r="H12" s="25" t="s">
        <v>23</v>
      </c>
      <c r="I12" s="9"/>
      <c r="J12" t="str">
        <f>","""&amp;D12&amp;""" "&amp;E12&amp;" "&amp;IF(F12="Y","NOT NULL ","")&amp;IF(G12="","","DEFAULT "&amp;IF(G12="","NULL",G12))</f>
        <v xml:space="preserve">,"dic_type" varchar(20) NOT NULL </v>
      </c>
      <c r="K12" s="1" t="str">
        <f>"COMMENT ON COLUMN ""public""."""&amp;$C$4&amp;"""."""&amp;D12&amp;""" IS '"&amp;C12&amp;H12&amp;"';"</f>
        <v>COMMENT ON COLUMN "public"."s_dic"."dic_type" IS '数据类型';</v>
      </c>
    </row>
    <row r="13" spans="1:11" ht="17.25" x14ac:dyDescent="0.3">
      <c r="A13" s="9"/>
      <c r="B13" s="3">
        <v>3</v>
      </c>
      <c r="C13" s="16" t="s">
        <v>246</v>
      </c>
      <c r="D13" s="16" t="s">
        <v>242</v>
      </c>
      <c r="E13" s="16" t="s">
        <v>188</v>
      </c>
      <c r="F13" s="6" t="s">
        <v>22</v>
      </c>
      <c r="G13" s="16"/>
      <c r="H13" s="16"/>
      <c r="I13" s="9"/>
      <c r="J13" t="str">
        <f>","""&amp;D13&amp;""" "&amp;E13&amp;" "&amp;IF(F13="Y","NOT NULL ","")&amp;IF(G13="","","DEFAULT "&amp;IF(G13="","NULL",G13))</f>
        <v xml:space="preserve">,"dic_type_name" varchar(50) NOT NULL </v>
      </c>
      <c r="K13" s="1" t="str">
        <f t="shared" ref="K13:K23" si="0">"COMMENT ON COLUMN ""public""."""&amp;$C$4&amp;"""."""&amp;D13&amp;""" IS '"&amp;C13&amp;H13&amp;"';"</f>
        <v>COMMENT ON COLUMN "public"."s_dic"."dic_type_name" IS '类型名称';</v>
      </c>
    </row>
    <row r="14" spans="1:11" ht="17.25" x14ac:dyDescent="0.3">
      <c r="A14" s="9"/>
      <c r="B14" s="3">
        <v>4</v>
      </c>
      <c r="C14" s="16" t="s">
        <v>135</v>
      </c>
      <c r="D14" s="16" t="s">
        <v>126</v>
      </c>
      <c r="E14" s="16" t="s">
        <v>25</v>
      </c>
      <c r="F14" s="6" t="s">
        <v>22</v>
      </c>
      <c r="G14" s="16"/>
      <c r="H14" s="16"/>
      <c r="I14" s="9"/>
      <c r="J14" t="str">
        <f>","""&amp;D14&amp;""" "&amp;E14&amp;" "&amp;IF(F14="Y","NOT NULL ","")&amp;IF(G14="","","DEFAULT "&amp;IF(G14="","NULL",G14))</f>
        <v xml:space="preserve">,"dic_code" varchar(20) NOT NULL </v>
      </c>
      <c r="K14" s="1" t="str">
        <f t="shared" si="0"/>
        <v>COMMENT ON COLUMN "public"."s_dic"."dic_code" IS '数据编号';</v>
      </c>
    </row>
    <row r="15" spans="1:11" ht="17.25" x14ac:dyDescent="0.3">
      <c r="A15" s="9"/>
      <c r="B15" s="3">
        <v>5</v>
      </c>
      <c r="C15" s="16" t="s">
        <v>247</v>
      </c>
      <c r="D15" s="16" t="s">
        <v>243</v>
      </c>
      <c r="E15" s="16" t="s">
        <v>188</v>
      </c>
      <c r="F15" s="6" t="s">
        <v>22</v>
      </c>
      <c r="G15" s="16"/>
      <c r="H15" s="16"/>
      <c r="I15" s="9"/>
      <c r="J15" t="str">
        <f>","""&amp;D15&amp;""" "&amp;E15&amp;" "&amp;IF(F15="Y","NOT NULL ","")&amp;IF(G15="","","DEFAULT "&amp;IF(G15="","NULL",G15))</f>
        <v xml:space="preserve">,"dic_info" varchar(50) NOT NULL </v>
      </c>
      <c r="K15" s="1" t="str">
        <f t="shared" si="0"/>
        <v>COMMENT ON COLUMN "public"."s_dic"."dic_info" IS '数据内容';</v>
      </c>
    </row>
    <row r="16" spans="1:11" ht="17.25" x14ac:dyDescent="0.3">
      <c r="A16" s="9"/>
      <c r="B16" s="3">
        <v>6</v>
      </c>
      <c r="C16" s="16" t="s">
        <v>258</v>
      </c>
      <c r="D16" s="16" t="s">
        <v>255</v>
      </c>
      <c r="E16" s="16" t="s">
        <v>150</v>
      </c>
      <c r="F16" s="6" t="s">
        <v>22</v>
      </c>
      <c r="G16" s="16"/>
      <c r="H16" s="16"/>
      <c r="I16" s="9"/>
      <c r="J16" t="str">
        <f t="shared" ref="J16:J17" si="1">","""&amp;D16&amp;""" "&amp;E16&amp;" "&amp;IF(F16="Y","NOT NULL ","")&amp;IF(G16="","","DEFAULT "&amp;IF(G16="","NULL",G16))</f>
        <v xml:space="preserve">,"dic_short_info" varchar(50) NOT NULL </v>
      </c>
      <c r="K16" s="1" t="str">
        <f t="shared" ref="K16:K17" si="2">"COMMENT ON COLUMN ""public""."""&amp;$C$4&amp;"""."""&amp;D16&amp;""" IS '"&amp;C16&amp;H16&amp;"';"</f>
        <v>COMMENT ON COLUMN "public"."s_dic"."dic_short_info" IS '数据内容简称';</v>
      </c>
    </row>
    <row r="17" spans="1:11" ht="17.25" x14ac:dyDescent="0.3">
      <c r="A17" s="9"/>
      <c r="B17" s="3">
        <v>7</v>
      </c>
      <c r="C17" s="16" t="s">
        <v>257</v>
      </c>
      <c r="D17" s="16" t="s">
        <v>256</v>
      </c>
      <c r="E17" s="16" t="s">
        <v>150</v>
      </c>
      <c r="F17" s="6" t="s">
        <v>22</v>
      </c>
      <c r="G17" s="16"/>
      <c r="H17" s="16"/>
      <c r="I17" s="9"/>
      <c r="J17" t="str">
        <f t="shared" si="1"/>
        <v xml:space="preserve">,"parent_code" varchar(50) NOT NULL </v>
      </c>
      <c r="K17" s="1" t="str">
        <f t="shared" si="2"/>
        <v>COMMENT ON COLUMN "public"."s_dic"."parent_code" IS '上级编号';</v>
      </c>
    </row>
    <row r="18" spans="1:11" ht="17.25" x14ac:dyDescent="0.3">
      <c r="A18" s="9"/>
      <c r="B18" s="3">
        <v>8</v>
      </c>
      <c r="C18" s="16" t="s">
        <v>248</v>
      </c>
      <c r="D18" s="4" t="s">
        <v>244</v>
      </c>
      <c r="E18" s="7" t="s">
        <v>26</v>
      </c>
      <c r="F18" s="6" t="s">
        <v>22</v>
      </c>
      <c r="G18" s="24" t="s">
        <v>79</v>
      </c>
      <c r="H18" s="4" t="s">
        <v>249</v>
      </c>
      <c r="I18" s="9"/>
      <c r="J18" t="str">
        <f t="shared" ref="J18:J23" si="3">","""&amp;D18&amp;""" "&amp;E18&amp;" "&amp;IF(F18="Y","NOT NULL ","")&amp;IF(G18="","","DEFAULT "&amp;IF(G18="","NULL",G18))</f>
        <v>,"is_init" varchar(1) NOT NULL DEFAULT 0</v>
      </c>
      <c r="K18" s="1" t="str">
        <f t="shared" si="0"/>
        <v>COMMENT ON COLUMN "public"."s_dic"."is_init" IS '是否预设数据 0：否 1：是';</v>
      </c>
    </row>
    <row r="19" spans="1:11" customFormat="1" ht="17.25" x14ac:dyDescent="0.3">
      <c r="B19" s="3">
        <v>9</v>
      </c>
      <c r="C19" s="16" t="s">
        <v>89</v>
      </c>
      <c r="D19" s="4" t="s">
        <v>90</v>
      </c>
      <c r="E19" s="7" t="s">
        <v>26</v>
      </c>
      <c r="F19" s="6" t="s">
        <v>22</v>
      </c>
      <c r="G19" s="24" t="s">
        <v>79</v>
      </c>
      <c r="H19" s="4" t="s">
        <v>127</v>
      </c>
      <c r="J19" t="str">
        <f t="shared" si="3"/>
        <v>,"is_delete" varchar(1) NOT NULL DEFAULT 0</v>
      </c>
      <c r="K19" s="1" t="str">
        <f t="shared" si="0"/>
        <v>COMMENT ON COLUMN "public"."s_dic"."is_delete" IS '删除标识 0：否 1：是';</v>
      </c>
    </row>
    <row r="20" spans="1:11" ht="17.25" x14ac:dyDescent="0.3">
      <c r="A20" s="9"/>
      <c r="B20" s="3">
        <v>10</v>
      </c>
      <c r="C20" s="16" t="s">
        <v>27</v>
      </c>
      <c r="D20" s="16" t="s">
        <v>30</v>
      </c>
      <c r="E20" s="16" t="s">
        <v>134</v>
      </c>
      <c r="F20" s="6" t="s">
        <v>22</v>
      </c>
      <c r="G20" s="25" t="s">
        <v>23</v>
      </c>
      <c r="H20" s="16"/>
      <c r="I20" s="9"/>
      <c r="J20" t="str">
        <f t="shared" si="3"/>
        <v xml:space="preserve">,"create_date" timestamp NOT NULL </v>
      </c>
      <c r="K20" s="1" t="str">
        <f t="shared" si="0"/>
        <v>COMMENT ON COLUMN "public"."s_dic"."create_date" IS '创建时间';</v>
      </c>
    </row>
    <row r="21" spans="1:11" ht="17.25" x14ac:dyDescent="0.3">
      <c r="A21" s="9"/>
      <c r="B21" s="3">
        <v>11</v>
      </c>
      <c r="C21" s="16" t="s">
        <v>8</v>
      </c>
      <c r="D21" s="16" t="s">
        <v>32</v>
      </c>
      <c r="E21" s="5" t="s">
        <v>131</v>
      </c>
      <c r="F21" s="6" t="s">
        <v>22</v>
      </c>
      <c r="G21" s="25" t="s">
        <v>23</v>
      </c>
      <c r="H21" s="16"/>
      <c r="I21" s="9"/>
      <c r="J21" t="str">
        <f t="shared" si="3"/>
        <v xml:space="preserve">,"create_by" int8 NOT NULL </v>
      </c>
      <c r="K21" s="1" t="str">
        <f t="shared" si="0"/>
        <v>COMMENT ON COLUMN "public"."s_dic"."create_by" IS '创建者';</v>
      </c>
    </row>
    <row r="22" spans="1:11" ht="17.25" x14ac:dyDescent="0.3">
      <c r="A22" s="9"/>
      <c r="B22" s="3">
        <v>12</v>
      </c>
      <c r="C22" s="16" t="s">
        <v>28</v>
      </c>
      <c r="D22" s="16" t="s">
        <v>31</v>
      </c>
      <c r="E22" s="16" t="s">
        <v>134</v>
      </c>
      <c r="F22" s="6" t="s">
        <v>22</v>
      </c>
      <c r="G22" s="25" t="s">
        <v>23</v>
      </c>
      <c r="H22" s="16"/>
      <c r="I22" s="9"/>
      <c r="J22" t="str">
        <f t="shared" si="3"/>
        <v xml:space="preserve">,"update_date" timestamp NOT NULL </v>
      </c>
      <c r="K22" s="1" t="str">
        <f t="shared" si="0"/>
        <v>COMMENT ON COLUMN "public"."s_dic"."update_date" IS '更新时间';</v>
      </c>
    </row>
    <row r="23" spans="1:11" ht="17.25" x14ac:dyDescent="0.3">
      <c r="A23" s="9"/>
      <c r="B23" s="3">
        <v>13</v>
      </c>
      <c r="C23" s="16" t="s">
        <v>29</v>
      </c>
      <c r="D23" s="16" t="s">
        <v>33</v>
      </c>
      <c r="E23" s="5" t="s">
        <v>131</v>
      </c>
      <c r="F23" s="6" t="s">
        <v>22</v>
      </c>
      <c r="G23" s="25" t="s">
        <v>23</v>
      </c>
      <c r="H23" s="16"/>
      <c r="I23" s="9"/>
      <c r="J23" t="str">
        <f t="shared" si="3"/>
        <v xml:space="preserve">,"update_by" int8 NOT NULL </v>
      </c>
      <c r="K23" s="1" t="str">
        <f t="shared" si="0"/>
        <v>COMMENT ON COLUMN "public"."s_dic"."update_by" IS '更新者';</v>
      </c>
    </row>
    <row r="24" spans="1:11" ht="17.25" x14ac:dyDescent="0.3">
      <c r="I24" s="9"/>
      <c r="J24" s="1" t="s">
        <v>251</v>
      </c>
      <c r="K24" s="32" t="s">
        <v>253</v>
      </c>
    </row>
    <row r="25" spans="1:11" ht="17.25" x14ac:dyDescent="0.3">
      <c r="I25" s="9"/>
      <c r="K25" s="1" t="str">
        <f>"-- Primary Key structure for table "&amp;$C$4</f>
        <v>-- Primary Key structure for table s_dic</v>
      </c>
    </row>
    <row r="26" spans="1:11" ht="17.25" x14ac:dyDescent="0.3">
      <c r="I26" s="9"/>
      <c r="K26" s="32" t="s">
        <v>253</v>
      </c>
    </row>
    <row r="27" spans="1:11" ht="17.25" x14ac:dyDescent="0.3">
      <c r="I27" s="9"/>
      <c r="K27" t="str">
        <f>"ALTER TABLE ""public""."""&amp;$C$4&amp;""" ADD CONSTRAINT """&amp;$C$4&amp;"_pkey"" PRIMARY KEY (""id"");"</f>
        <v>ALTER TABLE "public"."s_dic" ADD CONSTRAINT "s_dic_pkey" PRIMARY KEY ("id");</v>
      </c>
    </row>
    <row r="28" spans="1:11" ht="17.25" x14ac:dyDescent="0.3">
      <c r="I28" s="9"/>
      <c r="K28" t="str">
        <f>"DROP sequence IF EXISTS  ""public""."""&amp;$C$4&amp;"_seq"";"</f>
        <v>DROP sequence IF EXISTS  "public"."s_dic_seq";</v>
      </c>
    </row>
    <row r="29" spans="1:11" ht="17.25" x14ac:dyDescent="0.3">
      <c r="I29" s="9"/>
      <c r="K29" s="26" t="str">
        <f>"create sequence "&amp;$C$4&amp;"_seq start with 1;"</f>
        <v>create sequence s_dic_seq start with 1;</v>
      </c>
    </row>
    <row r="30" spans="1:11" ht="17.25" x14ac:dyDescent="0.3">
      <c r="I30" s="9"/>
      <c r="K30" s="26" t="str">
        <f>"alter table "&amp;$C$4&amp;" alter column id set default nextval('"&amp;$C$4&amp;"_seq' ::regclass);"</f>
        <v>alter table s_dic alter column id set default nextval('s_dic_seq' ::regclass);</v>
      </c>
    </row>
    <row r="31" spans="1:11" ht="17.25" x14ac:dyDescent="0.3">
      <c r="I31" s="9"/>
    </row>
    <row r="39" spans="15:17" x14ac:dyDescent="0.15">
      <c r="O39" s="28"/>
      <c r="Q39" s="28"/>
    </row>
    <row r="40" spans="15:17" x14ac:dyDescent="0.15">
      <c r="O40" s="28"/>
      <c r="Q40" s="28"/>
    </row>
    <row r="41" spans="15:17" x14ac:dyDescent="0.15">
      <c r="O41" s="28"/>
      <c r="Q41" s="28"/>
    </row>
    <row r="42" spans="15:17" x14ac:dyDescent="0.15">
      <c r="O42" s="28"/>
      <c r="Q42" s="28"/>
    </row>
    <row r="43" spans="15:17" x14ac:dyDescent="0.15">
      <c r="O43" s="28"/>
      <c r="Q43" s="28"/>
    </row>
    <row r="44" spans="15:17" x14ac:dyDescent="0.15">
      <c r="O44" s="28"/>
      <c r="Q44" s="28"/>
    </row>
    <row r="45" spans="15:17" x14ac:dyDescent="0.15">
      <c r="O45" s="28"/>
      <c r="Q45" s="28"/>
    </row>
    <row r="46" spans="15:17" x14ac:dyDescent="0.15">
      <c r="O46" s="28"/>
      <c r="Q46" s="28"/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7"/>
  <sheetViews>
    <sheetView workbookViewId="0">
      <selection activeCell="H2" sqref="H2"/>
    </sheetView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19.25" style="8" customWidth="1"/>
    <col min="5" max="5" width="16.375" style="8" customWidth="1"/>
    <col min="6" max="6" width="9.75" style="8" customWidth="1"/>
    <col min="7" max="7" width="7.75" style="8" customWidth="1"/>
    <col min="8" max="8" width="21.375" style="8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3.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s_act_log 系统日志表</v>
      </c>
    </row>
    <row r="3" spans="1:11" ht="18" x14ac:dyDescent="0.3">
      <c r="A3" s="9"/>
      <c r="B3" s="12" t="s">
        <v>10</v>
      </c>
      <c r="C3" s="49" t="s">
        <v>60</v>
      </c>
      <c r="D3" s="50"/>
      <c r="E3" s="13" t="s">
        <v>11</v>
      </c>
      <c r="F3" s="51">
        <v>44326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129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"public"."s_act_log";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"public"."s_act_log"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24</v>
      </c>
      <c r="D11" s="4" t="s">
        <v>21</v>
      </c>
      <c r="E11" s="5" t="s">
        <v>131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"public"."s_act_log"."id" IS 'ID';</v>
      </c>
    </row>
    <row r="12" spans="1:11" ht="17.25" x14ac:dyDescent="0.3">
      <c r="A12" s="9"/>
      <c r="B12" s="3">
        <v>2</v>
      </c>
      <c r="C12" s="16" t="s">
        <v>212</v>
      </c>
      <c r="D12" s="16" t="s">
        <v>109</v>
      </c>
      <c r="E12" s="16" t="s">
        <v>59</v>
      </c>
      <c r="F12" s="17"/>
      <c r="G12" s="25"/>
      <c r="H12" s="25"/>
      <c r="I12" s="9"/>
      <c r="J12" t="str">
        <f t="shared" ref="J12:J20" si="0">","""&amp;D12&amp;""" "&amp;E12&amp;" "&amp;IF(F12="Y","NOT NULL ","")&amp;IF(G12="","","DEFAULT "&amp;IF(G12="","NULL",G12))</f>
        <v xml:space="preserve">,"operate_type" varchar(20) </v>
      </c>
      <c r="K12" s="1" t="str">
        <f>"COMMENT ON COLUMN ""public""."""&amp;$C$4&amp;"""."""&amp;D12&amp;""" IS '"&amp;C12&amp;H12&amp;"';"</f>
        <v>COMMENT ON COLUMN "public"."s_act_log"."operate_type" IS '操作类型';</v>
      </c>
    </row>
    <row r="13" spans="1:11" ht="17.25" x14ac:dyDescent="0.3">
      <c r="A13" s="9"/>
      <c r="B13" s="3">
        <v>3</v>
      </c>
      <c r="C13" s="16" t="s">
        <v>213</v>
      </c>
      <c r="D13" s="16" t="s">
        <v>110</v>
      </c>
      <c r="E13" s="16" t="s">
        <v>150</v>
      </c>
      <c r="F13" s="17"/>
      <c r="G13" s="16"/>
      <c r="H13" s="16"/>
      <c r="I13" s="9"/>
      <c r="J13" t="str">
        <f t="shared" si="0"/>
        <v xml:space="preserve">,"modules" varchar(50) </v>
      </c>
      <c r="K13" s="1" t="str">
        <f t="shared" ref="K13:K20" si="1">"COMMENT ON COLUMN ""public""."""&amp;$C$4&amp;"""."""&amp;D13&amp;""" IS '"&amp;C13&amp;H13&amp;"';"</f>
        <v>COMMENT ON COLUMN "public"."s_act_log"."modules" IS '功能模块';</v>
      </c>
    </row>
    <row r="14" spans="1:11" ht="17.25" x14ac:dyDescent="0.3">
      <c r="A14" s="9"/>
      <c r="B14" s="3">
        <v>4</v>
      </c>
      <c r="C14" s="16" t="s">
        <v>209</v>
      </c>
      <c r="D14" s="4" t="s">
        <v>63</v>
      </c>
      <c r="E14" s="5" t="s">
        <v>131</v>
      </c>
      <c r="F14" s="17"/>
      <c r="G14" s="16"/>
      <c r="H14" s="16"/>
      <c r="I14" s="9"/>
      <c r="J14" t="str">
        <f t="shared" si="0"/>
        <v xml:space="preserve">,"user_id" int8 </v>
      </c>
      <c r="K14" s="1" t="str">
        <f t="shared" si="1"/>
        <v>COMMENT ON COLUMN "public"."s_act_log"."user_id" IS '操作人ID';</v>
      </c>
    </row>
    <row r="15" spans="1:11" ht="17.25" x14ac:dyDescent="0.3">
      <c r="A15" s="9"/>
      <c r="B15" s="3">
        <v>5</v>
      </c>
      <c r="C15" s="16" t="s">
        <v>208</v>
      </c>
      <c r="D15" s="16" t="s">
        <v>64</v>
      </c>
      <c r="E15" s="16" t="s">
        <v>150</v>
      </c>
      <c r="F15" s="17"/>
      <c r="G15" s="25"/>
      <c r="H15" s="16"/>
      <c r="I15" s="9"/>
      <c r="J15" t="str">
        <f t="shared" si="0"/>
        <v xml:space="preserve">,"user_name" varchar(50) </v>
      </c>
      <c r="K15" s="1" t="str">
        <f t="shared" si="1"/>
        <v>COMMENT ON COLUMN "public"."s_act_log"."user_name" IS '操作人名称';</v>
      </c>
    </row>
    <row r="16" spans="1:11" ht="17.25" x14ac:dyDescent="0.3">
      <c r="A16" s="9"/>
      <c r="B16" s="3">
        <v>6</v>
      </c>
      <c r="C16" s="16" t="s">
        <v>111</v>
      </c>
      <c r="D16" s="16" t="s">
        <v>30</v>
      </c>
      <c r="E16" s="16" t="s">
        <v>134</v>
      </c>
      <c r="F16" s="17"/>
      <c r="G16" s="16"/>
      <c r="H16" s="16"/>
      <c r="I16" s="9"/>
      <c r="J16" t="str">
        <f t="shared" si="0"/>
        <v xml:space="preserve">,"create_date" timestamp </v>
      </c>
      <c r="K16" s="1" t="str">
        <f t="shared" si="1"/>
        <v>COMMENT ON COLUMN "public"."s_act_log"."create_date" IS '操作时间';</v>
      </c>
    </row>
    <row r="17" spans="1:11" ht="17.25" x14ac:dyDescent="0.3">
      <c r="A17" s="9"/>
      <c r="B17" s="3">
        <v>7</v>
      </c>
      <c r="C17" s="16" t="s">
        <v>211</v>
      </c>
      <c r="D17" s="16" t="s">
        <v>108</v>
      </c>
      <c r="E17" s="7" t="s">
        <v>215</v>
      </c>
      <c r="F17" s="17"/>
      <c r="G17" s="16"/>
      <c r="H17" s="16"/>
      <c r="I17" s="9"/>
      <c r="J17" t="str">
        <f t="shared" si="0"/>
        <v xml:space="preserve">,"describe" text </v>
      </c>
      <c r="K17" s="1" t="str">
        <f t="shared" si="1"/>
        <v>COMMENT ON COLUMN "public"."s_act_log"."describe" IS '详细描述';</v>
      </c>
    </row>
    <row r="18" spans="1:11" ht="17.25" x14ac:dyDescent="0.3">
      <c r="A18" s="9"/>
      <c r="B18" s="3">
        <v>8</v>
      </c>
      <c r="C18" s="16" t="s">
        <v>67</v>
      </c>
      <c r="D18" s="16" t="s">
        <v>69</v>
      </c>
      <c r="E18" s="16" t="s">
        <v>150</v>
      </c>
      <c r="F18" s="17"/>
      <c r="G18" s="25"/>
      <c r="H18" s="25"/>
      <c r="I18" s="9"/>
      <c r="J18" t="str">
        <f t="shared" si="0"/>
        <v xml:space="preserve">,"access_ip" varchar(50) </v>
      </c>
      <c r="K18" s="1" t="str">
        <f t="shared" si="1"/>
        <v>COMMENT ON COLUMN "public"."s_act_log"."access_ip" IS '访问IP';</v>
      </c>
    </row>
    <row r="19" spans="1:11" ht="17.25" x14ac:dyDescent="0.3">
      <c r="A19" s="9"/>
      <c r="B19" s="3">
        <v>9</v>
      </c>
      <c r="C19" s="16" t="s">
        <v>68</v>
      </c>
      <c r="D19" s="16" t="s">
        <v>70</v>
      </c>
      <c r="E19" s="7" t="s">
        <v>214</v>
      </c>
      <c r="F19" s="17"/>
      <c r="G19" s="16"/>
      <c r="H19" s="16"/>
      <c r="I19" s="9"/>
      <c r="J19" t="str">
        <f t="shared" si="0"/>
        <v xml:space="preserve">,"access_time" timestamp </v>
      </c>
      <c r="K19" s="1" t="str">
        <f t="shared" si="1"/>
        <v>COMMENT ON COLUMN "public"."s_act_log"."access_time" IS '访问时间';</v>
      </c>
    </row>
    <row r="20" spans="1:11" ht="17.25" x14ac:dyDescent="0.3">
      <c r="A20" s="9"/>
      <c r="B20" s="3">
        <v>10</v>
      </c>
      <c r="C20" s="16" t="s">
        <v>210</v>
      </c>
      <c r="D20" s="16" t="s">
        <v>216</v>
      </c>
      <c r="E20" s="16" t="s">
        <v>26</v>
      </c>
      <c r="F20" s="17"/>
      <c r="G20" s="25"/>
      <c r="H20" s="16" t="s">
        <v>118</v>
      </c>
      <c r="I20" s="9"/>
      <c r="J20" t="str">
        <f t="shared" si="0"/>
        <v xml:space="preserve">,"access_type" varchar(1) </v>
      </c>
      <c r="K20" s="1" t="str">
        <f t="shared" si="1"/>
        <v>COMMENT ON COLUMN "public"."s_act_log"."access_type" IS '访问入口1：WEB端 2：小程序';</v>
      </c>
    </row>
    <row r="21" spans="1:11" ht="17.25" x14ac:dyDescent="0.3">
      <c r="J21" s="1" t="s">
        <v>251</v>
      </c>
      <c r="K21" s="32" t="s">
        <v>253</v>
      </c>
    </row>
    <row r="22" spans="1:11" ht="17.25" x14ac:dyDescent="0.3">
      <c r="K22" s="1" t="str">
        <f>"-- Primary Key structure for table "&amp;$C$4</f>
        <v>-- Primary Key structure for table s_act_log</v>
      </c>
    </row>
    <row r="23" spans="1:11" ht="17.25" x14ac:dyDescent="0.3">
      <c r="K23" s="32" t="s">
        <v>253</v>
      </c>
    </row>
    <row r="24" spans="1:11" x14ac:dyDescent="0.15">
      <c r="K24" t="str">
        <f>"ALTER TABLE ""public""."""&amp;$C$4&amp;""" ADD CONSTRAINT """&amp;$C$4&amp;"_pkey"" PRIMARY KEY (""id"");"</f>
        <v>ALTER TABLE "public"."s_act_log" ADD CONSTRAINT "s_act_log_pkey" PRIMARY KEY ("id");</v>
      </c>
    </row>
    <row r="25" spans="1:11" x14ac:dyDescent="0.15">
      <c r="K25" t="str">
        <f>"DROP sequence IF EXISTS  ""public""."""&amp;$C$4&amp;"_seq"";"</f>
        <v>DROP sequence IF EXISTS  "public"."s_act_log_seq";</v>
      </c>
    </row>
    <row r="26" spans="1:11" x14ac:dyDescent="0.15">
      <c r="K26" s="26" t="str">
        <f>"create sequence "&amp;$C$4&amp;"_seq start with 1;"</f>
        <v>create sequence s_act_log_seq start with 1;</v>
      </c>
    </row>
    <row r="27" spans="1:11" x14ac:dyDescent="0.15">
      <c r="K27" s="26" t="str">
        <f>"alter table "&amp;$C$4&amp;" alter column id set default nextval('"&amp;$C$4&amp;"_seq' ::regclass);"</f>
        <v>alter table s_act_log alter column id set default nextval('s_act_log_seq'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28"/>
  <sheetViews>
    <sheetView workbookViewId="0"/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19.25" style="8" customWidth="1"/>
    <col min="5" max="5" width="16.375" style="8" customWidth="1"/>
    <col min="6" max="6" width="9.75" style="8" customWidth="1"/>
    <col min="7" max="7" width="7.75" style="8" customWidth="1"/>
    <col min="8" max="8" width="21.375" style="8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3.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s_building 建筑信息表</v>
      </c>
    </row>
    <row r="3" spans="1:11" ht="18" x14ac:dyDescent="0.3">
      <c r="A3" s="9"/>
      <c r="B3" s="12" t="s">
        <v>10</v>
      </c>
      <c r="C3" s="49" t="s">
        <v>266</v>
      </c>
      <c r="D3" s="50"/>
      <c r="E3" s="13" t="s">
        <v>11</v>
      </c>
      <c r="F3" s="51">
        <v>44326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267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"public"."s_building";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"public"."s_building"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24</v>
      </c>
      <c r="D11" s="4" t="s">
        <v>21</v>
      </c>
      <c r="E11" s="5" t="s">
        <v>131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"public"."s_building"."id" IS 'ID';</v>
      </c>
    </row>
    <row r="12" spans="1:11" ht="17.25" x14ac:dyDescent="0.3">
      <c r="A12" s="9"/>
      <c r="B12" s="3">
        <v>2</v>
      </c>
      <c r="C12" s="16" t="s">
        <v>268</v>
      </c>
      <c r="D12" s="16" t="s">
        <v>274</v>
      </c>
      <c r="E12" s="16" t="s">
        <v>150</v>
      </c>
      <c r="F12" s="17"/>
      <c r="G12" s="25"/>
      <c r="H12" s="25"/>
      <c r="I12" s="9"/>
      <c r="J12" t="str">
        <f t="shared" ref="J12:J21" si="0">","""&amp;D12&amp;""" "&amp;E12&amp;" "&amp;IF(F12="Y","NOT NULL ","")&amp;IF(G12="","","DEFAULT "&amp;IF(G12="","NULL",G12))</f>
        <v xml:space="preserve">,"building_name" varchar(50) </v>
      </c>
      <c r="K12" s="1" t="str">
        <f>"COMMENT ON COLUMN ""public""."""&amp;$C$4&amp;"""."""&amp;D12&amp;""" IS '"&amp;C12&amp;H12&amp;"';"</f>
        <v>COMMENT ON COLUMN "public"."s_building"."building_name" IS '建筑名称';</v>
      </c>
    </row>
    <row r="13" spans="1:11" ht="17.25" x14ac:dyDescent="0.3">
      <c r="A13" s="9"/>
      <c r="B13" s="3">
        <v>3</v>
      </c>
      <c r="C13" s="16" t="s">
        <v>269</v>
      </c>
      <c r="D13" s="16" t="s">
        <v>273</v>
      </c>
      <c r="E13" s="16" t="s">
        <v>59</v>
      </c>
      <c r="F13" s="17"/>
      <c r="G13" s="16"/>
      <c r="H13" s="16"/>
      <c r="I13" s="9"/>
      <c r="J13" t="str">
        <f t="shared" si="0"/>
        <v xml:space="preserve">,"building_type" varchar(20) </v>
      </c>
      <c r="K13" s="1" t="str">
        <f t="shared" ref="K13:K21" si="1">"COMMENT ON COLUMN ""public""."""&amp;$C$4&amp;"""."""&amp;D13&amp;""" IS '"&amp;C13&amp;H13&amp;"';"</f>
        <v>COMMENT ON COLUMN "public"."s_building"."building_type" IS '建筑类型';</v>
      </c>
    </row>
    <row r="14" spans="1:11" ht="17.25" x14ac:dyDescent="0.3">
      <c r="A14" s="9"/>
      <c r="B14" s="3">
        <v>4</v>
      </c>
      <c r="C14" s="16" t="s">
        <v>270</v>
      </c>
      <c r="D14" s="4" t="s">
        <v>275</v>
      </c>
      <c r="E14" s="16" t="s">
        <v>272</v>
      </c>
      <c r="F14" s="17"/>
      <c r="G14" s="16"/>
      <c r="H14" s="16"/>
      <c r="I14" s="9"/>
      <c r="J14" t="str">
        <f t="shared" si="0"/>
        <v xml:space="preserve">,"building_desc" varchar(255) </v>
      </c>
      <c r="K14" s="1" t="str">
        <f t="shared" si="1"/>
        <v>COMMENT ON COLUMN "public"."s_building"."building_desc" IS '建筑描述';</v>
      </c>
    </row>
    <row r="15" spans="1:11" ht="17.25" x14ac:dyDescent="0.3">
      <c r="A15" s="9"/>
      <c r="B15" s="3">
        <v>5</v>
      </c>
      <c r="C15" s="16" t="s">
        <v>153</v>
      </c>
      <c r="D15" s="16" t="s">
        <v>124</v>
      </c>
      <c r="E15" s="5" t="s">
        <v>131</v>
      </c>
      <c r="F15" s="17"/>
      <c r="G15" s="25"/>
      <c r="H15" s="16"/>
      <c r="I15" s="9"/>
      <c r="J15" t="str">
        <f t="shared" si="0"/>
        <v xml:space="preserve">,"customer_id" int8 </v>
      </c>
      <c r="K15" s="1" t="str">
        <f t="shared" si="1"/>
        <v>COMMENT ON COLUMN "public"."s_building"."customer_id" IS '所属园区';</v>
      </c>
    </row>
    <row r="16" spans="1:11" ht="17.25" x14ac:dyDescent="0.3">
      <c r="A16" s="9"/>
      <c r="B16" s="3">
        <v>6</v>
      </c>
      <c r="C16" s="16" t="s">
        <v>271</v>
      </c>
      <c r="D16" s="4" t="s">
        <v>277</v>
      </c>
      <c r="E16" s="5" t="s">
        <v>131</v>
      </c>
      <c r="F16" s="17"/>
      <c r="G16" s="16"/>
      <c r="H16" s="16"/>
      <c r="I16" s="9"/>
      <c r="J16" t="str">
        <f t="shared" ref="J16" si="2">","""&amp;D16&amp;""" "&amp;E16&amp;" "&amp;IF(F16="Y","NOT NULL ","")&amp;IF(G16="","","DEFAULT "&amp;IF(G16="","NULL",G16))</f>
        <v xml:space="preserve">,"parent_id" int8 </v>
      </c>
      <c r="K16" s="1" t="str">
        <f t="shared" ref="K16" si="3">"COMMENT ON COLUMN ""public""."""&amp;$C$4&amp;"""."""&amp;D16&amp;""" IS '"&amp;C16&amp;H16&amp;"';"</f>
        <v>COMMENT ON COLUMN "public"."s_building"."parent_id" IS '上级建筑';</v>
      </c>
    </row>
    <row r="17" spans="2:11" customFormat="1" ht="17.25" x14ac:dyDescent="0.3">
      <c r="B17" s="3">
        <v>7</v>
      </c>
      <c r="C17" s="16" t="s">
        <v>89</v>
      </c>
      <c r="D17" s="4" t="s">
        <v>90</v>
      </c>
      <c r="E17" s="7" t="s">
        <v>26</v>
      </c>
      <c r="F17" s="6"/>
      <c r="G17" s="24" t="s">
        <v>79</v>
      </c>
      <c r="H17" s="4" t="s">
        <v>91</v>
      </c>
      <c r="J17" t="str">
        <f t="shared" si="0"/>
        <v>,"is_delete" varchar(1) DEFAULT 0</v>
      </c>
      <c r="K17" s="1" t="str">
        <f t="shared" si="1"/>
        <v>COMMENT ON COLUMN "public"."s_building"."is_delete" IS '删除标识0:否  1:是';</v>
      </c>
    </row>
    <row r="18" spans="2:11" customFormat="1" ht="17.25" x14ac:dyDescent="0.3">
      <c r="B18" s="3">
        <v>8</v>
      </c>
      <c r="C18" s="16" t="s">
        <v>27</v>
      </c>
      <c r="D18" s="16" t="s">
        <v>162</v>
      </c>
      <c r="E18" s="16" t="s">
        <v>214</v>
      </c>
      <c r="F18" s="6"/>
      <c r="G18" s="24"/>
      <c r="H18" s="4"/>
      <c r="J18" t="str">
        <f t="shared" si="0"/>
        <v xml:space="preserve">,"create_date" timestamp </v>
      </c>
      <c r="K18" s="1" t="str">
        <f t="shared" si="1"/>
        <v>COMMENT ON COLUMN "public"."s_building"."create_date" IS '创建时间';</v>
      </c>
    </row>
    <row r="19" spans="2:11" customFormat="1" ht="17.25" x14ac:dyDescent="0.3">
      <c r="B19" s="3">
        <v>9</v>
      </c>
      <c r="C19" s="16" t="s">
        <v>8</v>
      </c>
      <c r="D19" s="16" t="s">
        <v>32</v>
      </c>
      <c r="E19" s="5" t="s">
        <v>131</v>
      </c>
      <c r="F19" s="6"/>
      <c r="G19" s="24"/>
      <c r="H19" s="4"/>
      <c r="J19" t="str">
        <f t="shared" si="0"/>
        <v xml:space="preserve">,"create_by" int8 </v>
      </c>
      <c r="K19" s="1" t="str">
        <f t="shared" si="1"/>
        <v>COMMENT ON COLUMN "public"."s_building"."create_by" IS '创建者';</v>
      </c>
    </row>
    <row r="20" spans="2:11" customFormat="1" ht="17.25" x14ac:dyDescent="0.3">
      <c r="B20" s="3">
        <v>10</v>
      </c>
      <c r="C20" s="16" t="s">
        <v>28</v>
      </c>
      <c r="D20" s="16" t="s">
        <v>31</v>
      </c>
      <c r="E20" s="16" t="s">
        <v>134</v>
      </c>
      <c r="F20" s="6"/>
      <c r="G20" s="24"/>
      <c r="H20" s="4"/>
      <c r="J20" t="str">
        <f t="shared" si="0"/>
        <v xml:space="preserve">,"update_date" timestamp </v>
      </c>
      <c r="K20" s="1" t="str">
        <f t="shared" si="1"/>
        <v>COMMENT ON COLUMN "public"."s_building"."update_date" IS '更新时间';</v>
      </c>
    </row>
    <row r="21" spans="2:11" customFormat="1" ht="17.25" x14ac:dyDescent="0.3">
      <c r="B21" s="3">
        <v>11</v>
      </c>
      <c r="C21" s="16" t="s">
        <v>29</v>
      </c>
      <c r="D21" s="16" t="s">
        <v>33</v>
      </c>
      <c r="E21" s="5" t="s">
        <v>131</v>
      </c>
      <c r="F21" s="6"/>
      <c r="G21" s="24"/>
      <c r="H21" s="4"/>
      <c r="J21" t="str">
        <f t="shared" si="0"/>
        <v xml:space="preserve">,"update_by" int8 </v>
      </c>
      <c r="K21" s="1" t="str">
        <f t="shared" si="1"/>
        <v>COMMENT ON COLUMN "public"."s_building"."update_by" IS '更新者';</v>
      </c>
    </row>
    <row r="22" spans="2:11" ht="17.25" x14ac:dyDescent="0.3">
      <c r="J22" s="1" t="s">
        <v>251</v>
      </c>
      <c r="K22" s="32" t="s">
        <v>253</v>
      </c>
    </row>
    <row r="23" spans="2:11" ht="17.25" x14ac:dyDescent="0.3">
      <c r="K23" s="1" t="str">
        <f>"-- Primary Key structure for table "&amp;$C$4</f>
        <v>-- Primary Key structure for table s_building</v>
      </c>
    </row>
    <row r="24" spans="2:11" ht="17.25" x14ac:dyDescent="0.3">
      <c r="K24" s="32" t="s">
        <v>253</v>
      </c>
    </row>
    <row r="25" spans="2:11" x14ac:dyDescent="0.15">
      <c r="K25" t="str">
        <f>"ALTER TABLE ""public""."""&amp;$C$4&amp;""" ADD CONSTRAINT """&amp;$C$4&amp;"_pkey"" PRIMARY KEY (""id"");"</f>
        <v>ALTER TABLE "public"."s_building" ADD CONSTRAINT "s_building_pkey" PRIMARY KEY ("id");</v>
      </c>
    </row>
    <row r="26" spans="2:11" x14ac:dyDescent="0.15">
      <c r="K26" t="str">
        <f>"DROP sequence IF EXISTS  ""public""."""&amp;$C$4&amp;"_seq"";"</f>
        <v>DROP sequence IF EXISTS  "public"."s_building_seq";</v>
      </c>
    </row>
    <row r="27" spans="2:11" x14ac:dyDescent="0.15">
      <c r="K27" s="26" t="str">
        <f>"create sequence "&amp;$C$4&amp;"_seq start with 1;"</f>
        <v>create sequence s_building_seq start with 1;</v>
      </c>
    </row>
    <row r="28" spans="2:11" x14ac:dyDescent="0.15">
      <c r="K28" s="26" t="str">
        <f>"alter table "&amp;$C$4&amp;" alter column id set default nextval('"&amp;$C$4&amp;"_seq' ::regclass);"</f>
        <v>alter table s_building alter column id set default nextval('s_building_seq'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8"/>
  <sheetViews>
    <sheetView workbookViewId="0"/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24.625" style="8" bestFit="1" customWidth="1"/>
    <col min="5" max="5" width="16.375" style="8" customWidth="1"/>
    <col min="6" max="6" width="9.75" style="8" customWidth="1"/>
    <col min="7" max="7" width="7.75" style="8" customWidth="1"/>
    <col min="8" max="8" width="21.375" style="8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3.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s_device 设备信息表</v>
      </c>
    </row>
    <row r="3" spans="1:11" ht="18" x14ac:dyDescent="0.3">
      <c r="A3" s="9"/>
      <c r="B3" s="12" t="s">
        <v>10</v>
      </c>
      <c r="C3" s="49" t="s">
        <v>278</v>
      </c>
      <c r="D3" s="50"/>
      <c r="E3" s="13" t="s">
        <v>11</v>
      </c>
      <c r="F3" s="51">
        <v>44326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279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"public"."s_device";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"public"."s_device"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24</v>
      </c>
      <c r="D11" s="4" t="s">
        <v>21</v>
      </c>
      <c r="E11" s="5" t="s">
        <v>131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"public"."s_device"."id" IS 'ID';</v>
      </c>
    </row>
    <row r="12" spans="1:11" ht="17.25" x14ac:dyDescent="0.3">
      <c r="A12" s="9"/>
      <c r="B12" s="3">
        <v>2</v>
      </c>
      <c r="C12" s="16" t="s">
        <v>285</v>
      </c>
      <c r="D12" s="16" t="s">
        <v>290</v>
      </c>
      <c r="E12" s="16" t="s">
        <v>150</v>
      </c>
      <c r="F12" s="17"/>
      <c r="G12" s="25"/>
      <c r="H12" s="25"/>
      <c r="I12" s="9"/>
      <c r="J12" t="str">
        <f t="shared" ref="J12:J31" si="0">","""&amp;D12&amp;""" "&amp;E12&amp;" "&amp;IF(F12="Y","NOT NULL ","")&amp;IF(G12="","","DEFAULT "&amp;IF(G12="","NULL",G12))</f>
        <v xml:space="preserve">,"device_code" varchar(50) </v>
      </c>
      <c r="K12" s="1" t="str">
        <f>"COMMENT ON COLUMN ""public""."""&amp;$C$4&amp;"""."""&amp;D12&amp;""" IS '"&amp;C12&amp;H12&amp;"';"</f>
        <v>COMMENT ON COLUMN "public"."s_device"."device_code" IS '设备编号';</v>
      </c>
    </row>
    <row r="13" spans="1:11" ht="17.25" x14ac:dyDescent="0.3">
      <c r="A13" s="9"/>
      <c r="B13" s="3">
        <v>3</v>
      </c>
      <c r="C13" s="16" t="s">
        <v>289</v>
      </c>
      <c r="D13" s="16" t="s">
        <v>291</v>
      </c>
      <c r="E13" s="16" t="s">
        <v>59</v>
      </c>
      <c r="F13" s="17"/>
      <c r="G13" s="16"/>
      <c r="H13" s="16"/>
      <c r="I13" s="9"/>
      <c r="J13" t="str">
        <f t="shared" si="0"/>
        <v xml:space="preserve">,"device_name" varchar(20) </v>
      </c>
      <c r="K13" s="1" t="str">
        <f t="shared" ref="K13:K31" si="1">"COMMENT ON COLUMN ""public""."""&amp;$C$4&amp;"""."""&amp;D13&amp;""" IS '"&amp;C13&amp;H13&amp;"';"</f>
        <v>COMMENT ON COLUMN "public"."s_device"."device_name" IS '设备名称';</v>
      </c>
    </row>
    <row r="14" spans="1:11" ht="17.25" x14ac:dyDescent="0.3">
      <c r="A14" s="9"/>
      <c r="B14" s="3">
        <v>4</v>
      </c>
      <c r="C14" s="16" t="s">
        <v>280</v>
      </c>
      <c r="D14" s="4" t="s">
        <v>292</v>
      </c>
      <c r="E14" s="16" t="s">
        <v>272</v>
      </c>
      <c r="F14" s="17"/>
      <c r="G14" s="16"/>
      <c r="H14" s="16"/>
      <c r="I14" s="9"/>
      <c r="J14" t="str">
        <f t="shared" si="0"/>
        <v xml:space="preserve">,"device_type" varchar(255) </v>
      </c>
      <c r="K14" s="1" t="str">
        <f t="shared" si="1"/>
        <v>COMMENT ON COLUMN "public"."s_device"."device_type" IS '设备类型';</v>
      </c>
    </row>
    <row r="15" spans="1:11" ht="17.25" x14ac:dyDescent="0.3">
      <c r="A15" s="9"/>
      <c r="B15" s="3">
        <v>5</v>
      </c>
      <c r="C15" s="16" t="s">
        <v>281</v>
      </c>
      <c r="D15" s="16" t="s">
        <v>293</v>
      </c>
      <c r="E15" s="5" t="s">
        <v>131</v>
      </c>
      <c r="F15" s="17"/>
      <c r="G15" s="25"/>
      <c r="H15" s="16"/>
      <c r="I15" s="9"/>
      <c r="J15" t="str">
        <f t="shared" si="0"/>
        <v xml:space="preserve">,"device_model" int8 </v>
      </c>
      <c r="K15" s="1" t="str">
        <f t="shared" si="1"/>
        <v>COMMENT ON COLUMN "public"."s_device"."device_model" IS '设备型号';</v>
      </c>
    </row>
    <row r="16" spans="1:11" ht="17.25" x14ac:dyDescent="0.3">
      <c r="A16" s="9"/>
      <c r="B16" s="3">
        <v>6</v>
      </c>
      <c r="C16" s="16" t="s">
        <v>328</v>
      </c>
      <c r="D16" s="4" t="s">
        <v>329</v>
      </c>
      <c r="E16" s="16" t="s">
        <v>214</v>
      </c>
      <c r="F16" s="17"/>
      <c r="G16" s="16"/>
      <c r="H16" s="16"/>
      <c r="I16" s="9"/>
      <c r="J16" t="str">
        <f t="shared" si="0"/>
        <v xml:space="preserve">,"install_time" timestamp </v>
      </c>
      <c r="K16" s="1" t="str">
        <f t="shared" si="1"/>
        <v>COMMENT ON COLUMN "public"."s_device"."install_time" IS '安装时间';</v>
      </c>
    </row>
    <row r="17" spans="1:11" ht="17.25" x14ac:dyDescent="0.3">
      <c r="A17" s="9"/>
      <c r="B17" s="3">
        <v>7</v>
      </c>
      <c r="C17" s="16" t="s">
        <v>282</v>
      </c>
      <c r="D17" s="16" t="s">
        <v>294</v>
      </c>
      <c r="E17" s="16" t="s">
        <v>59</v>
      </c>
      <c r="F17" s="17"/>
      <c r="G17" s="16"/>
      <c r="H17" s="16"/>
      <c r="I17" s="9"/>
      <c r="J17" t="str">
        <f t="shared" ref="J17:J23" si="2">","""&amp;D17&amp;""" "&amp;E17&amp;" "&amp;IF(F17="Y","NOT NULL ","")&amp;IF(G17="","","DEFAULT "&amp;IF(G17="","NULL",G17))</f>
        <v xml:space="preserve">,"maintenance_cycle" varchar(20) </v>
      </c>
      <c r="K17" s="1" t="str">
        <f t="shared" ref="K17:K23" si="3">"COMMENT ON COLUMN ""public""."""&amp;$C$4&amp;"""."""&amp;D17&amp;""" IS '"&amp;C17&amp;H17&amp;"';"</f>
        <v>COMMENT ON COLUMN "public"."s_device"."maintenance_cycle" IS '维护周期';</v>
      </c>
    </row>
    <row r="18" spans="1:11" ht="17.25" x14ac:dyDescent="0.3">
      <c r="A18" s="9"/>
      <c r="B18" s="3">
        <v>8</v>
      </c>
      <c r="C18" s="16" t="s">
        <v>287</v>
      </c>
      <c r="D18" s="16" t="s">
        <v>295</v>
      </c>
      <c r="E18" s="16" t="s">
        <v>59</v>
      </c>
      <c r="F18" s="17"/>
      <c r="G18" s="16"/>
      <c r="H18" s="16"/>
      <c r="I18" s="9"/>
      <c r="J18" t="str">
        <f t="shared" si="2"/>
        <v xml:space="preserve">,"device_serialno" varchar(20) </v>
      </c>
      <c r="K18" s="1" t="str">
        <f t="shared" si="3"/>
        <v>COMMENT ON COLUMN "public"."s_device"."device_serialno" IS '设备序列号';</v>
      </c>
    </row>
    <row r="19" spans="1:11" ht="17.25" x14ac:dyDescent="0.3">
      <c r="A19" s="9"/>
      <c r="B19" s="3">
        <v>9</v>
      </c>
      <c r="C19" s="16" t="s">
        <v>296</v>
      </c>
      <c r="D19" s="16" t="s">
        <v>297</v>
      </c>
      <c r="E19" s="16" t="s">
        <v>59</v>
      </c>
      <c r="F19" s="17"/>
      <c r="G19" s="16"/>
      <c r="H19" s="16"/>
      <c r="I19" s="9"/>
      <c r="J19" t="str">
        <f t="shared" si="2"/>
        <v xml:space="preserve">,"device_year" varchar(20) </v>
      </c>
      <c r="K19" s="1" t="str">
        <f t="shared" si="3"/>
        <v>COMMENT ON COLUMN "public"."s_device"."device_year" IS '设备年份';</v>
      </c>
    </row>
    <row r="20" spans="1:11" ht="17.25" x14ac:dyDescent="0.3">
      <c r="A20" s="9"/>
      <c r="B20" s="3">
        <v>10</v>
      </c>
      <c r="C20" s="16" t="s">
        <v>283</v>
      </c>
      <c r="D20" s="16" t="s">
        <v>298</v>
      </c>
      <c r="E20" s="16" t="s">
        <v>59</v>
      </c>
      <c r="F20" s="17"/>
      <c r="G20" s="16"/>
      <c r="H20" s="16"/>
      <c r="I20" s="9"/>
      <c r="J20" t="str">
        <f t="shared" si="2"/>
        <v xml:space="preserve">,"device_ip" varchar(20) </v>
      </c>
      <c r="K20" s="1" t="str">
        <f t="shared" si="3"/>
        <v>COMMENT ON COLUMN "public"."s_device"."device_ip" IS 'IP地址';</v>
      </c>
    </row>
    <row r="21" spans="1:11" ht="17.25" x14ac:dyDescent="0.3">
      <c r="A21" s="9"/>
      <c r="B21" s="3">
        <v>11</v>
      </c>
      <c r="C21" s="16" t="s">
        <v>288</v>
      </c>
      <c r="D21" s="16" t="s">
        <v>299</v>
      </c>
      <c r="E21" s="5" t="s">
        <v>131</v>
      </c>
      <c r="F21" s="17"/>
      <c r="G21" s="16"/>
      <c r="H21" s="16"/>
      <c r="I21" s="9"/>
      <c r="J21" t="str">
        <f t="shared" si="2"/>
        <v xml:space="preserve">,"device_building_id" int8 </v>
      </c>
      <c r="K21" s="1" t="str">
        <f t="shared" si="3"/>
        <v>COMMENT ON COLUMN "public"."s_device"."device_building_id" IS '设备位置';</v>
      </c>
    </row>
    <row r="22" spans="1:11" ht="17.25" x14ac:dyDescent="0.3">
      <c r="A22" s="9"/>
      <c r="B22" s="3">
        <v>12</v>
      </c>
      <c r="C22" s="16" t="s">
        <v>284</v>
      </c>
      <c r="D22" s="16" t="s">
        <v>302</v>
      </c>
      <c r="E22" s="16" t="s">
        <v>59</v>
      </c>
      <c r="F22" s="17"/>
      <c r="G22" s="16"/>
      <c r="H22" s="16"/>
      <c r="I22" s="9"/>
      <c r="J22" t="str">
        <f t="shared" si="2"/>
        <v xml:space="preserve">,"device_item_code" varchar(20) </v>
      </c>
      <c r="K22" s="1" t="str">
        <f t="shared" si="3"/>
        <v>COMMENT ON COLUMN "public"."s_device"."device_item_code" IS '设备项目';</v>
      </c>
    </row>
    <row r="23" spans="1:11" ht="17.25" x14ac:dyDescent="0.3">
      <c r="A23" s="9"/>
      <c r="B23" s="3">
        <v>13</v>
      </c>
      <c r="C23" s="16" t="s">
        <v>300</v>
      </c>
      <c r="D23" s="16" t="s">
        <v>301</v>
      </c>
      <c r="E23" s="16" t="s">
        <v>59</v>
      </c>
      <c r="F23" s="17"/>
      <c r="G23" s="16"/>
      <c r="H23" s="16"/>
      <c r="I23" s="9"/>
      <c r="J23" t="str">
        <f t="shared" si="2"/>
        <v xml:space="preserve">,"device_classify_code" varchar(20) </v>
      </c>
      <c r="K23" s="1" t="str">
        <f t="shared" si="3"/>
        <v>COMMENT ON COLUMN "public"."s_device"."device_classify_code" IS '设备分类';</v>
      </c>
    </row>
    <row r="24" spans="1:11" ht="17.25" x14ac:dyDescent="0.3">
      <c r="A24" s="9"/>
      <c r="B24" s="3">
        <v>14</v>
      </c>
      <c r="C24" s="16" t="s">
        <v>303</v>
      </c>
      <c r="D24" s="16" t="s">
        <v>305</v>
      </c>
      <c r="E24" s="5" t="s">
        <v>131</v>
      </c>
      <c r="F24" s="17"/>
      <c r="G24" s="16"/>
      <c r="H24" s="16"/>
      <c r="I24" s="9"/>
      <c r="J24" t="str">
        <f t="shared" ref="J24:J25" si="4">","""&amp;D24&amp;""" "&amp;E24&amp;" "&amp;IF(F24="Y","NOT NULL ","")&amp;IF(G24="","","DEFAULT "&amp;IF(G24="","NULL",G24))</f>
        <v xml:space="preserve">,"sensor_id" int8 </v>
      </c>
      <c r="K24" s="1" t="str">
        <f t="shared" ref="K24:K25" si="5">"COMMENT ON COLUMN ""public""."""&amp;$C$4&amp;"""."""&amp;D24&amp;""" IS '"&amp;C24&amp;H24&amp;"';"</f>
        <v>COMMENT ON COLUMN "public"."s_device"."sensor_id" IS '关联表计';</v>
      </c>
    </row>
    <row r="25" spans="1:11" ht="17.25" x14ac:dyDescent="0.3">
      <c r="A25" s="9"/>
      <c r="B25" s="3">
        <v>15</v>
      </c>
      <c r="C25" s="16" t="s">
        <v>327</v>
      </c>
      <c r="D25" s="16" t="s">
        <v>326</v>
      </c>
      <c r="E25" s="16" t="s">
        <v>272</v>
      </c>
      <c r="F25" s="17"/>
      <c r="G25" s="16"/>
      <c r="H25" s="16"/>
      <c r="I25" s="9"/>
      <c r="J25" t="str">
        <f t="shared" si="4"/>
        <v xml:space="preserve">,"device_image" varchar(255) </v>
      </c>
      <c r="K25" s="1" t="str">
        <f t="shared" si="5"/>
        <v>COMMENT ON COLUMN "public"."s_device"."device_image" IS '设备图片';</v>
      </c>
    </row>
    <row r="26" spans="1:11" ht="17.25" x14ac:dyDescent="0.3">
      <c r="A26" s="9"/>
      <c r="B26" s="3">
        <v>16</v>
      </c>
      <c r="C26" s="16" t="s">
        <v>325</v>
      </c>
      <c r="D26" s="16" t="s">
        <v>324</v>
      </c>
      <c r="E26" s="5" t="s">
        <v>131</v>
      </c>
      <c r="F26" s="17"/>
      <c r="G26" s="16"/>
      <c r="H26" s="16"/>
      <c r="I26" s="9"/>
      <c r="J26" t="str">
        <f t="shared" ref="J26" si="6">","""&amp;D26&amp;""" "&amp;E26&amp;" "&amp;IF(F26="Y","NOT NULL ","")&amp;IF(G26="","","DEFAULT "&amp;IF(G26="","NULL",G26))</f>
        <v xml:space="preserve">,"device_wiring_diagram" int8 </v>
      </c>
      <c r="K26" s="1" t="str">
        <f t="shared" ref="K26" si="7">"COMMENT ON COLUMN ""public""."""&amp;$C$4&amp;"""."""&amp;D26&amp;""" IS '"&amp;C26&amp;H26&amp;"';"</f>
        <v>COMMENT ON COLUMN "public"."s_device"."device_wiring_diagram" IS '设备线路图';</v>
      </c>
    </row>
    <row r="27" spans="1:11" customFormat="1" ht="17.25" x14ac:dyDescent="0.3">
      <c r="B27" s="3">
        <v>17</v>
      </c>
      <c r="C27" s="16" t="s">
        <v>89</v>
      </c>
      <c r="D27" s="4" t="s">
        <v>90</v>
      </c>
      <c r="E27" s="7" t="s">
        <v>26</v>
      </c>
      <c r="F27" s="6"/>
      <c r="G27" s="24" t="s">
        <v>79</v>
      </c>
      <c r="H27" s="4" t="s">
        <v>91</v>
      </c>
      <c r="J27" t="str">
        <f t="shared" si="0"/>
        <v>,"is_delete" varchar(1) DEFAULT 0</v>
      </c>
      <c r="K27" s="1" t="str">
        <f t="shared" si="1"/>
        <v>COMMENT ON COLUMN "public"."s_device"."is_delete" IS '删除标识0:否  1:是';</v>
      </c>
    </row>
    <row r="28" spans="1:11" customFormat="1" ht="17.25" x14ac:dyDescent="0.3">
      <c r="B28" s="3">
        <v>18</v>
      </c>
      <c r="C28" s="16" t="s">
        <v>27</v>
      </c>
      <c r="D28" s="16" t="s">
        <v>162</v>
      </c>
      <c r="E28" s="16" t="s">
        <v>214</v>
      </c>
      <c r="F28" s="6"/>
      <c r="G28" s="24"/>
      <c r="H28" s="4"/>
      <c r="J28" t="str">
        <f t="shared" si="0"/>
        <v xml:space="preserve">,"create_date" timestamp </v>
      </c>
      <c r="K28" s="1" t="str">
        <f t="shared" si="1"/>
        <v>COMMENT ON COLUMN "public"."s_device"."create_date" IS '创建时间';</v>
      </c>
    </row>
    <row r="29" spans="1:11" customFormat="1" ht="17.25" x14ac:dyDescent="0.3">
      <c r="B29" s="3">
        <v>19</v>
      </c>
      <c r="C29" s="16" t="s">
        <v>8</v>
      </c>
      <c r="D29" s="16" t="s">
        <v>32</v>
      </c>
      <c r="E29" s="5" t="s">
        <v>131</v>
      </c>
      <c r="F29" s="6"/>
      <c r="G29" s="24"/>
      <c r="H29" s="4"/>
      <c r="J29" t="str">
        <f t="shared" si="0"/>
        <v xml:space="preserve">,"create_by" int8 </v>
      </c>
      <c r="K29" s="1" t="str">
        <f t="shared" si="1"/>
        <v>COMMENT ON COLUMN "public"."s_device"."create_by" IS '创建者';</v>
      </c>
    </row>
    <row r="30" spans="1:11" customFormat="1" ht="17.25" x14ac:dyDescent="0.3">
      <c r="B30" s="3">
        <v>20</v>
      </c>
      <c r="C30" s="16" t="s">
        <v>28</v>
      </c>
      <c r="D30" s="16" t="s">
        <v>31</v>
      </c>
      <c r="E30" s="16" t="s">
        <v>134</v>
      </c>
      <c r="F30" s="6"/>
      <c r="G30" s="24"/>
      <c r="H30" s="4"/>
      <c r="J30" t="str">
        <f t="shared" si="0"/>
        <v xml:space="preserve">,"update_date" timestamp </v>
      </c>
      <c r="K30" s="1" t="str">
        <f t="shared" si="1"/>
        <v>COMMENT ON COLUMN "public"."s_device"."update_date" IS '更新时间';</v>
      </c>
    </row>
    <row r="31" spans="1:11" customFormat="1" ht="17.25" x14ac:dyDescent="0.3">
      <c r="B31" s="3">
        <v>21</v>
      </c>
      <c r="C31" s="16" t="s">
        <v>29</v>
      </c>
      <c r="D31" s="16" t="s">
        <v>33</v>
      </c>
      <c r="E31" s="5" t="s">
        <v>131</v>
      </c>
      <c r="F31" s="6"/>
      <c r="G31" s="24"/>
      <c r="H31" s="4"/>
      <c r="J31" t="str">
        <f t="shared" si="0"/>
        <v xml:space="preserve">,"update_by" int8 </v>
      </c>
      <c r="K31" s="1" t="str">
        <f t="shared" si="1"/>
        <v>COMMENT ON COLUMN "public"."s_device"."update_by" IS '更新者';</v>
      </c>
    </row>
    <row r="32" spans="1:11" ht="17.25" x14ac:dyDescent="0.3">
      <c r="J32" s="1" t="s">
        <v>251</v>
      </c>
      <c r="K32" s="32" t="s">
        <v>253</v>
      </c>
    </row>
    <row r="33" spans="11:11" ht="17.25" x14ac:dyDescent="0.3">
      <c r="K33" s="1" t="str">
        <f>"-- Primary Key structure for table "&amp;$C$4</f>
        <v>-- Primary Key structure for table s_device</v>
      </c>
    </row>
    <row r="34" spans="11:11" ht="17.25" x14ac:dyDescent="0.3">
      <c r="K34" s="32" t="s">
        <v>253</v>
      </c>
    </row>
    <row r="35" spans="11:11" x14ac:dyDescent="0.15">
      <c r="K35" t="str">
        <f>"ALTER TABLE ""public""."""&amp;$C$4&amp;""" ADD CONSTRAINT """&amp;$C$4&amp;"_pkey"" PRIMARY KEY (""id"");"</f>
        <v>ALTER TABLE "public"."s_device" ADD CONSTRAINT "s_device_pkey" PRIMARY KEY ("id");</v>
      </c>
    </row>
    <row r="36" spans="11:11" x14ac:dyDescent="0.15">
      <c r="K36" t="str">
        <f>"DROP sequence IF EXISTS  ""public""."""&amp;$C$4&amp;"_seq"";"</f>
        <v>DROP sequence IF EXISTS  "public"."s_device_seq";</v>
      </c>
    </row>
    <row r="37" spans="11:11" x14ac:dyDescent="0.15">
      <c r="K37" s="26" t="str">
        <f>"create sequence "&amp;$C$4&amp;"_seq start with 1;"</f>
        <v>create sequence s_device_seq start with 1;</v>
      </c>
    </row>
    <row r="38" spans="11:11" x14ac:dyDescent="0.15">
      <c r="K38" s="26" t="str">
        <f>"alter table "&amp;$C$4&amp;" alter column id set default nextval('"&amp;$C$4&amp;"_seq' ::regclass);"</f>
        <v>alter table s_device alter column id set default nextval('s_device_seq'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1"/>
  <sheetViews>
    <sheetView tabSelected="1" workbookViewId="0"/>
  </sheetViews>
  <sheetFormatPr defaultColWidth="9" defaultRowHeight="13.5" x14ac:dyDescent="0.15"/>
  <cols>
    <col min="1" max="1" width="2" style="8" customWidth="1"/>
    <col min="2" max="2" width="9.75" style="8" customWidth="1"/>
    <col min="3" max="3" width="16.375" style="8" bestFit="1" customWidth="1"/>
    <col min="4" max="4" width="19.25" style="8" customWidth="1"/>
    <col min="5" max="5" width="16.375" style="8" customWidth="1"/>
    <col min="6" max="6" width="9.75" style="8" customWidth="1"/>
    <col min="7" max="7" width="7.75" style="8" customWidth="1"/>
    <col min="8" max="8" width="21.375" style="8" customWidth="1"/>
    <col min="9" max="9" width="16.25" style="8" customWidth="1"/>
    <col min="10" max="10" width="30.5" customWidth="1"/>
    <col min="11" max="11" width="27.25" customWidth="1"/>
    <col min="12" max="16384" width="9" style="8"/>
  </cols>
  <sheetData>
    <row r="1" spans="1:11" ht="13.5" customHeight="1" thickBot="1" x14ac:dyDescent="0.35">
      <c r="A1" s="9"/>
      <c r="B1" s="9"/>
      <c r="C1" s="9"/>
      <c r="D1" s="9"/>
      <c r="E1" s="9"/>
      <c r="F1" s="9"/>
      <c r="G1" s="9"/>
      <c r="H1" s="9"/>
      <c r="I1" s="9"/>
      <c r="J1" s="32" t="s">
        <v>253</v>
      </c>
    </row>
    <row r="2" spans="1:11" ht="18" x14ac:dyDescent="0.3">
      <c r="A2" s="9"/>
      <c r="B2" s="10" t="s">
        <v>7</v>
      </c>
      <c r="C2" s="46" t="s">
        <v>184</v>
      </c>
      <c r="D2" s="47"/>
      <c r="E2" s="11" t="s">
        <v>8</v>
      </c>
      <c r="F2" s="46" t="s">
        <v>92</v>
      </c>
      <c r="G2" s="48"/>
      <c r="H2" s="2" t="s">
        <v>9</v>
      </c>
      <c r="I2" s="9"/>
      <c r="J2" s="1" t="str">
        <f>"-- Table structure for  "&amp;$C$4&amp;" "&amp;$C$3</f>
        <v>-- Table structure for  s_sensor 表计传感器信息表</v>
      </c>
    </row>
    <row r="3" spans="1:11" ht="18" x14ac:dyDescent="0.3">
      <c r="A3" s="9"/>
      <c r="B3" s="12" t="s">
        <v>10</v>
      </c>
      <c r="C3" s="49" t="s">
        <v>304</v>
      </c>
      <c r="D3" s="50"/>
      <c r="E3" s="13" t="s">
        <v>11</v>
      </c>
      <c r="F3" s="51">
        <v>44326</v>
      </c>
      <c r="G3" s="52"/>
      <c r="H3" s="9"/>
      <c r="I3" s="9"/>
      <c r="J3" s="32" t="s">
        <v>253</v>
      </c>
    </row>
    <row r="4" spans="1:11" ht="18" x14ac:dyDescent="0.3">
      <c r="A4" s="9"/>
      <c r="B4" s="12" t="s">
        <v>12</v>
      </c>
      <c r="C4" s="49" t="s">
        <v>310</v>
      </c>
      <c r="D4" s="50"/>
      <c r="E4" s="13" t="s">
        <v>13</v>
      </c>
      <c r="F4" s="49"/>
      <c r="G4" s="52"/>
      <c r="H4" s="9"/>
      <c r="I4" s="9"/>
      <c r="J4" s="1" t="str">
        <f>"DROP TABLE IF EXISTS  ""public""."""&amp;$C$4&amp;""";"</f>
        <v>DROP TABLE IF EXISTS  "public"."s_sensor";</v>
      </c>
    </row>
    <row r="5" spans="1:11" ht="17.25" x14ac:dyDescent="0.3">
      <c r="A5" s="9"/>
      <c r="B5" s="36" t="s">
        <v>14</v>
      </c>
      <c r="C5" s="37"/>
      <c r="D5" s="37"/>
      <c r="E5" s="37"/>
      <c r="F5" s="37"/>
      <c r="G5" s="38"/>
      <c r="H5" s="9"/>
      <c r="I5" s="9"/>
      <c r="J5" s="1" t="str">
        <f>"CREATE TABLE ""public""."""&amp;$C$4&amp;"""  ("</f>
        <v>CREATE TABLE "public"."s_sensor"  (</v>
      </c>
    </row>
    <row r="6" spans="1:11" ht="17.25" x14ac:dyDescent="0.3">
      <c r="A6" s="9"/>
      <c r="B6" s="39" t="s">
        <v>15</v>
      </c>
      <c r="C6" s="40"/>
      <c r="D6" s="40"/>
      <c r="E6" s="40"/>
      <c r="F6" s="40"/>
      <c r="G6" s="41"/>
      <c r="H6" s="9"/>
      <c r="I6" s="9"/>
    </row>
    <row r="7" spans="1:11" ht="17.25" x14ac:dyDescent="0.3">
      <c r="A7" s="9"/>
      <c r="B7" s="42"/>
      <c r="C7" s="40"/>
      <c r="D7" s="40"/>
      <c r="E7" s="40"/>
      <c r="F7" s="40"/>
      <c r="G7" s="41"/>
      <c r="H7" s="9"/>
      <c r="I7" s="9"/>
    </row>
    <row r="8" spans="1:11" ht="18" thickBot="1" x14ac:dyDescent="0.35">
      <c r="A8" s="9"/>
      <c r="B8" s="43"/>
      <c r="C8" s="44"/>
      <c r="D8" s="44"/>
      <c r="E8" s="44"/>
      <c r="F8" s="44"/>
      <c r="G8" s="45"/>
      <c r="H8" s="9"/>
      <c r="I8" s="9"/>
    </row>
    <row r="9" spans="1:11" ht="17.25" x14ac:dyDescent="0.3">
      <c r="A9" s="9"/>
      <c r="B9" s="9"/>
      <c r="C9" s="9"/>
      <c r="D9" s="9"/>
      <c r="E9" s="9"/>
      <c r="F9" s="9"/>
      <c r="G9" s="9"/>
      <c r="H9" s="9"/>
      <c r="I9" s="9"/>
    </row>
    <row r="10" spans="1:11" ht="18" x14ac:dyDescent="0.3">
      <c r="A10" s="9"/>
      <c r="B10" s="14" t="s">
        <v>0</v>
      </c>
      <c r="C10" s="15" t="s">
        <v>16</v>
      </c>
      <c r="D10" s="15" t="s">
        <v>12</v>
      </c>
      <c r="E10" s="15" t="s">
        <v>17</v>
      </c>
      <c r="F10" s="15" t="s">
        <v>18</v>
      </c>
      <c r="G10" s="15" t="s">
        <v>19</v>
      </c>
      <c r="H10" s="15" t="s">
        <v>20</v>
      </c>
      <c r="I10" s="9"/>
    </row>
    <row r="11" spans="1:11" customFormat="1" ht="17.25" x14ac:dyDescent="0.3">
      <c r="A11" s="1"/>
      <c r="B11" s="3">
        <v>1</v>
      </c>
      <c r="C11" s="4" t="s">
        <v>24</v>
      </c>
      <c r="D11" s="4" t="s">
        <v>21</v>
      </c>
      <c r="E11" s="5" t="s">
        <v>131</v>
      </c>
      <c r="F11" s="6" t="s">
        <v>22</v>
      </c>
      <c r="G11" s="24" t="s">
        <v>23</v>
      </c>
      <c r="H11" s="24" t="s">
        <v>23</v>
      </c>
      <c r="I11" s="1"/>
      <c r="J11" t="str">
        <f>""""&amp;D11&amp;""" "&amp;E11&amp;" "&amp;IF(F11="Y","NOT NULL ","")&amp;IF(G11="","","DEFAULT "&amp;IF(G11="","NULL",G11))</f>
        <v xml:space="preserve">"id" int8 NOT NULL </v>
      </c>
      <c r="K11" s="1" t="str">
        <f>"COMMENT ON COLUMN ""public""."""&amp;$C$4&amp;"""."""&amp;D11&amp;""" IS '"&amp;C11&amp;H11&amp;"';"</f>
        <v>COMMENT ON COLUMN "public"."s_sensor"."id" IS 'ID';</v>
      </c>
    </row>
    <row r="12" spans="1:11" ht="17.25" x14ac:dyDescent="0.3">
      <c r="A12" s="9"/>
      <c r="B12" s="3">
        <v>2</v>
      </c>
      <c r="C12" s="16" t="s">
        <v>306</v>
      </c>
      <c r="D12" s="16" t="s">
        <v>311</v>
      </c>
      <c r="E12" s="16" t="s">
        <v>150</v>
      </c>
      <c r="F12" s="17"/>
      <c r="G12" s="25"/>
      <c r="H12" s="25"/>
      <c r="I12" s="9"/>
      <c r="J12" t="str">
        <f t="shared" ref="J12:J24" si="0">","""&amp;D12&amp;""" "&amp;E12&amp;" "&amp;IF(F12="Y","NOT NULL ","")&amp;IF(G12="","","DEFAULT "&amp;IF(G12="","NULL",G12))</f>
        <v xml:space="preserve">,"sensor_code" varchar(50) </v>
      </c>
      <c r="K12" s="1" t="str">
        <f>"COMMENT ON COLUMN ""public""."""&amp;$C$4&amp;"""."""&amp;D12&amp;""" IS '"&amp;C12&amp;H12&amp;"';"</f>
        <v>COMMENT ON COLUMN "public"."s_sensor"."sensor_code" IS '表计编号';</v>
      </c>
    </row>
    <row r="13" spans="1:11" ht="17.25" x14ac:dyDescent="0.3">
      <c r="A13" s="9"/>
      <c r="B13" s="3">
        <v>3</v>
      </c>
      <c r="C13" s="16" t="s">
        <v>307</v>
      </c>
      <c r="D13" s="16" t="s">
        <v>312</v>
      </c>
      <c r="E13" s="16" t="s">
        <v>59</v>
      </c>
      <c r="F13" s="17"/>
      <c r="G13" s="16"/>
      <c r="H13" s="16"/>
      <c r="I13" s="9"/>
      <c r="J13" t="str">
        <f t="shared" si="0"/>
        <v xml:space="preserve">,"sensor_name" varchar(20) </v>
      </c>
      <c r="K13" s="1" t="str">
        <f t="shared" ref="K13:K24" si="1">"COMMENT ON COLUMN ""public""."""&amp;$C$4&amp;"""."""&amp;D13&amp;""" IS '"&amp;C13&amp;H13&amp;"';"</f>
        <v>COMMENT ON COLUMN "public"."s_sensor"."sensor_name" IS '表计名称';</v>
      </c>
    </row>
    <row r="14" spans="1:11" ht="17.25" x14ac:dyDescent="0.3">
      <c r="A14" s="9"/>
      <c r="B14" s="3">
        <v>4</v>
      </c>
      <c r="C14" s="16" t="s">
        <v>309</v>
      </c>
      <c r="D14" s="4" t="s">
        <v>314</v>
      </c>
      <c r="E14" s="16" t="s">
        <v>272</v>
      </c>
      <c r="F14" s="17"/>
      <c r="G14" s="16"/>
      <c r="H14" s="16"/>
      <c r="I14" s="9"/>
      <c r="J14" t="str">
        <f t="shared" si="0"/>
        <v xml:space="preserve">,"sensor_norm" varchar(255) </v>
      </c>
      <c r="K14" s="1" t="str">
        <f t="shared" si="1"/>
        <v>COMMENT ON COLUMN "public"."s_sensor"."sensor_norm" IS '表计规格';</v>
      </c>
    </row>
    <row r="15" spans="1:11" ht="17.25" x14ac:dyDescent="0.3">
      <c r="A15" s="9"/>
      <c r="B15" s="3">
        <v>5</v>
      </c>
      <c r="C15" s="16" t="s">
        <v>313</v>
      </c>
      <c r="D15" s="16" t="s">
        <v>315</v>
      </c>
      <c r="E15" s="5" t="s">
        <v>131</v>
      </c>
      <c r="F15" s="17"/>
      <c r="G15" s="25"/>
      <c r="H15" s="16"/>
      <c r="I15" s="9"/>
      <c r="J15" t="str">
        <f t="shared" si="0"/>
        <v xml:space="preserve">,"sensor_model" int8 </v>
      </c>
      <c r="K15" s="1" t="str">
        <f t="shared" si="1"/>
        <v>COMMENT ON COLUMN "public"."s_sensor"."sensor_model" IS '表计型号';</v>
      </c>
    </row>
    <row r="16" spans="1:11" ht="17.25" x14ac:dyDescent="0.3">
      <c r="A16" s="9"/>
      <c r="B16" s="3">
        <v>6</v>
      </c>
      <c r="C16" s="16" t="s">
        <v>308</v>
      </c>
      <c r="D16" s="4" t="s">
        <v>316</v>
      </c>
      <c r="E16" s="16" t="s">
        <v>214</v>
      </c>
      <c r="F16" s="17"/>
      <c r="G16" s="16"/>
      <c r="H16" s="16"/>
      <c r="I16" s="9"/>
      <c r="J16" t="str">
        <f t="shared" si="0"/>
        <v xml:space="preserve">,"starting_value" timestamp </v>
      </c>
      <c r="K16" s="1" t="str">
        <f t="shared" si="1"/>
        <v>COMMENT ON COLUMN "public"."s_sensor"."starting_value" IS '起始数值';</v>
      </c>
    </row>
    <row r="17" spans="1:11" ht="17.25" x14ac:dyDescent="0.3">
      <c r="A17" s="9"/>
      <c r="B17" s="3">
        <v>7</v>
      </c>
      <c r="C17" s="16" t="s">
        <v>286</v>
      </c>
      <c r="D17" s="4" t="s">
        <v>329</v>
      </c>
      <c r="E17" s="16" t="s">
        <v>214</v>
      </c>
      <c r="F17" s="17"/>
      <c r="G17" s="16"/>
      <c r="H17" s="16"/>
      <c r="I17" s="9"/>
      <c r="J17" t="str">
        <f t="shared" si="0"/>
        <v xml:space="preserve">,"install_time" timestamp </v>
      </c>
      <c r="K17" s="1" t="str">
        <f t="shared" si="1"/>
        <v>COMMENT ON COLUMN "public"."s_sensor"."install_time" IS '安装时间';</v>
      </c>
    </row>
    <row r="18" spans="1:11" ht="17.25" x14ac:dyDescent="0.3">
      <c r="A18" s="9"/>
      <c r="B18" s="3">
        <v>8</v>
      </c>
      <c r="C18" s="16" t="s">
        <v>317</v>
      </c>
      <c r="D18" s="16" t="s">
        <v>318</v>
      </c>
      <c r="E18" s="16" t="s">
        <v>59</v>
      </c>
      <c r="F18" s="17"/>
      <c r="G18" s="16"/>
      <c r="H18" s="16"/>
      <c r="I18" s="9"/>
      <c r="J18" t="str">
        <f t="shared" si="0"/>
        <v xml:space="preserve">,"transformer_capacity" varchar(20) </v>
      </c>
      <c r="K18" s="1" t="str">
        <f t="shared" si="1"/>
        <v>COMMENT ON COLUMN "public"."s_sensor"."transformer_capacity" IS '互感器容量';</v>
      </c>
    </row>
    <row r="19" spans="1:11" ht="17.25" x14ac:dyDescent="0.3">
      <c r="A19" s="9"/>
      <c r="B19" s="3">
        <v>9</v>
      </c>
      <c r="C19" s="16" t="s">
        <v>288</v>
      </c>
      <c r="D19" s="16" t="s">
        <v>319</v>
      </c>
      <c r="E19" s="5" t="s">
        <v>131</v>
      </c>
      <c r="F19" s="17"/>
      <c r="G19" s="16"/>
      <c r="H19" s="16"/>
      <c r="I19" s="9"/>
      <c r="J19" t="str">
        <f t="shared" si="0"/>
        <v xml:space="preserve">,"sensor_building_id" int8 </v>
      </c>
      <c r="K19" s="1" t="str">
        <f t="shared" si="1"/>
        <v>COMMENT ON COLUMN "public"."s_sensor"."sensor_building_id" IS '设备位置';</v>
      </c>
    </row>
    <row r="20" spans="1:11" customFormat="1" ht="17.25" x14ac:dyDescent="0.3">
      <c r="B20" s="3">
        <v>10</v>
      </c>
      <c r="C20" s="16" t="s">
        <v>89</v>
      </c>
      <c r="D20" s="4" t="s">
        <v>90</v>
      </c>
      <c r="E20" s="7" t="s">
        <v>26</v>
      </c>
      <c r="F20" s="6"/>
      <c r="G20" s="24" t="s">
        <v>79</v>
      </c>
      <c r="H20" s="4" t="s">
        <v>91</v>
      </c>
      <c r="J20" t="str">
        <f t="shared" si="0"/>
        <v>,"is_delete" varchar(1) DEFAULT 0</v>
      </c>
      <c r="K20" s="1" t="str">
        <f t="shared" si="1"/>
        <v>COMMENT ON COLUMN "public"."s_sensor"."is_delete" IS '删除标识0:否  1:是';</v>
      </c>
    </row>
    <row r="21" spans="1:11" customFormat="1" ht="17.25" x14ac:dyDescent="0.3">
      <c r="B21" s="3">
        <v>11</v>
      </c>
      <c r="C21" s="16" t="s">
        <v>27</v>
      </c>
      <c r="D21" s="16" t="s">
        <v>162</v>
      </c>
      <c r="E21" s="16" t="s">
        <v>214</v>
      </c>
      <c r="F21" s="6"/>
      <c r="G21" s="24"/>
      <c r="H21" s="4"/>
      <c r="J21" t="str">
        <f t="shared" si="0"/>
        <v xml:space="preserve">,"create_date" timestamp </v>
      </c>
      <c r="K21" s="1" t="str">
        <f t="shared" si="1"/>
        <v>COMMENT ON COLUMN "public"."s_sensor"."create_date" IS '创建时间';</v>
      </c>
    </row>
    <row r="22" spans="1:11" customFormat="1" ht="17.25" x14ac:dyDescent="0.3">
      <c r="B22" s="3">
        <v>12</v>
      </c>
      <c r="C22" s="16" t="s">
        <v>8</v>
      </c>
      <c r="D22" s="16" t="s">
        <v>32</v>
      </c>
      <c r="E22" s="5" t="s">
        <v>131</v>
      </c>
      <c r="F22" s="6"/>
      <c r="G22" s="24"/>
      <c r="H22" s="4"/>
      <c r="J22" t="str">
        <f t="shared" si="0"/>
        <v xml:space="preserve">,"create_by" int8 </v>
      </c>
      <c r="K22" s="1" t="str">
        <f t="shared" si="1"/>
        <v>COMMENT ON COLUMN "public"."s_sensor"."create_by" IS '创建者';</v>
      </c>
    </row>
    <row r="23" spans="1:11" customFormat="1" ht="17.25" x14ac:dyDescent="0.3">
      <c r="B23" s="3">
        <v>13</v>
      </c>
      <c r="C23" s="16" t="s">
        <v>28</v>
      </c>
      <c r="D23" s="16" t="s">
        <v>31</v>
      </c>
      <c r="E23" s="16" t="s">
        <v>134</v>
      </c>
      <c r="F23" s="6"/>
      <c r="G23" s="24"/>
      <c r="H23" s="4"/>
      <c r="J23" t="str">
        <f t="shared" si="0"/>
        <v xml:space="preserve">,"update_date" timestamp </v>
      </c>
      <c r="K23" s="1" t="str">
        <f t="shared" si="1"/>
        <v>COMMENT ON COLUMN "public"."s_sensor"."update_date" IS '更新时间';</v>
      </c>
    </row>
    <row r="24" spans="1:11" customFormat="1" ht="17.25" x14ac:dyDescent="0.3">
      <c r="B24" s="3">
        <v>14</v>
      </c>
      <c r="C24" s="16" t="s">
        <v>29</v>
      </c>
      <c r="D24" s="16" t="s">
        <v>33</v>
      </c>
      <c r="E24" s="5" t="s">
        <v>131</v>
      </c>
      <c r="F24" s="6"/>
      <c r="G24" s="24"/>
      <c r="H24" s="4"/>
      <c r="J24" t="str">
        <f t="shared" si="0"/>
        <v xml:space="preserve">,"update_by" int8 </v>
      </c>
      <c r="K24" s="1" t="str">
        <f t="shared" si="1"/>
        <v>COMMENT ON COLUMN "public"."s_sensor"."update_by" IS '更新者';</v>
      </c>
    </row>
    <row r="25" spans="1:11" ht="17.25" x14ac:dyDescent="0.3">
      <c r="J25" s="1" t="s">
        <v>251</v>
      </c>
      <c r="K25" s="32" t="s">
        <v>253</v>
      </c>
    </row>
    <row r="26" spans="1:11" ht="17.25" x14ac:dyDescent="0.3">
      <c r="K26" s="1" t="str">
        <f>"-- Primary Key structure for table "&amp;$C$4</f>
        <v>-- Primary Key structure for table s_sensor</v>
      </c>
    </row>
    <row r="27" spans="1:11" ht="17.25" x14ac:dyDescent="0.3">
      <c r="K27" s="32" t="s">
        <v>253</v>
      </c>
    </row>
    <row r="28" spans="1:11" x14ac:dyDescent="0.15">
      <c r="K28" t="str">
        <f>"ALTER TABLE ""public""."""&amp;$C$4&amp;""" ADD CONSTRAINT """&amp;$C$4&amp;"_pkey"" PRIMARY KEY (""id"");"</f>
        <v>ALTER TABLE "public"."s_sensor" ADD CONSTRAINT "s_sensor_pkey" PRIMARY KEY ("id");</v>
      </c>
    </row>
    <row r="29" spans="1:11" x14ac:dyDescent="0.15">
      <c r="K29" t="str">
        <f>"DROP sequence IF EXISTS  ""public""."""&amp;$C$4&amp;"_seq"";"</f>
        <v>DROP sequence IF EXISTS  "public"."s_sensor_seq";</v>
      </c>
    </row>
    <row r="30" spans="1:11" x14ac:dyDescent="0.15">
      <c r="K30" s="26" t="str">
        <f>"create sequence "&amp;$C$4&amp;"_seq start with 1;"</f>
        <v>create sequence s_sensor_seq start with 1;</v>
      </c>
    </row>
    <row r="31" spans="1:11" x14ac:dyDescent="0.15">
      <c r="K31" s="26" t="str">
        <f>"alter table "&amp;$C$4&amp;" alter column id set default nextval('"&amp;$C$4&amp;"_seq' ::regclass);"</f>
        <v>alter table s_sensor alter column id set default nextval('s_sensor_seq' ::regclass);</v>
      </c>
    </row>
  </sheetData>
  <mergeCells count="8">
    <mergeCell ref="B5:G5"/>
    <mergeCell ref="B6:G8"/>
    <mergeCell ref="C2:D2"/>
    <mergeCell ref="F2:G2"/>
    <mergeCell ref="C3:D3"/>
    <mergeCell ref="F3:G3"/>
    <mergeCell ref="C4:D4"/>
    <mergeCell ref="F4:G4"/>
  </mergeCells>
  <phoneticPr fontId="9" type="noConversion"/>
  <hyperlinks>
    <hyperlink ref="H2" location="数据表一览!A1" display="返回一览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数据表一览</vt:lpstr>
      <vt:lpstr>客户信息管理表</vt:lpstr>
      <vt:lpstr>人员信息管理表</vt:lpstr>
      <vt:lpstr>人员菜单权限关系表</vt:lpstr>
      <vt:lpstr>运维单位信息管理表</vt:lpstr>
      <vt:lpstr>运维团队信息管理表</vt:lpstr>
      <vt:lpstr>登录页广告位管理表</vt:lpstr>
      <vt:lpstr>菜单管理表</vt:lpstr>
      <vt:lpstr>文件管理表</vt:lpstr>
      <vt:lpstr>信息发布表</vt:lpstr>
      <vt:lpstr>数据字典表</vt:lpstr>
      <vt:lpstr>系统日志表</vt:lpstr>
      <vt:lpstr>建筑信息表</vt:lpstr>
      <vt:lpstr>设备信息表</vt:lpstr>
      <vt:lpstr>表计传感器信息表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dubingzhe</dc:creator>
  <cp:lastModifiedBy>dubingzhe</cp:lastModifiedBy>
  <dcterms:created xsi:type="dcterms:W3CDTF">2006-09-16T00:00:00Z</dcterms:created>
  <dcterms:modified xsi:type="dcterms:W3CDTF">2021-05-18T09:43:57Z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